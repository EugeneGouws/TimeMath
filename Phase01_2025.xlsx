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TimeMath\"/>
    </mc:Choice>
  </mc:AlternateContent>
  <xr:revisionPtr revIDLastSave="0" documentId="13_ncr:1_{95AB9648-FB82-477A-8C5E-66CC5C301144}" xr6:coauthVersionLast="47" xr6:coauthVersionMax="47" xr10:uidLastSave="{00000000-0000-0000-0000-000000000000}"/>
  <bookViews>
    <workbookView xWindow="11424" yWindow="0" windowWidth="11712" windowHeight="12336" tabRatio="500" firstSheet="1" activeTab="2" xr2:uid="{00000000-000D-0000-FFFF-FFFF00000000}"/>
  </bookViews>
  <sheets>
    <sheet name="README" sheetId="1" r:id="rId1"/>
    <sheet name="Config" sheetId="2" r:id="rId2"/>
    <sheet name="Roster" sheetId="3" r:id="rId3"/>
    <sheet name="Matrix" sheetId="4" r:id="rId4"/>
    <sheet name="Subjects" sheetId="5" r:id="rId5"/>
    <sheet name="Conflict" sheetId="6" r:id="rId6"/>
    <sheet name="Bound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" i="7" l="1"/>
  <c r="B5" i="7"/>
  <c r="B3" i="7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W267" i="4"/>
  <c r="V267" i="4"/>
  <c r="S267" i="4"/>
  <c r="Q267" i="4"/>
  <c r="P267" i="4"/>
  <c r="M267" i="4"/>
  <c r="L267" i="4"/>
  <c r="G267" i="4"/>
  <c r="A267" i="4"/>
  <c r="V266" i="4"/>
  <c r="T266" i="4"/>
  <c r="R266" i="4"/>
  <c r="Q266" i="4"/>
  <c r="N266" i="4"/>
  <c r="L266" i="4"/>
  <c r="H266" i="4"/>
  <c r="A266" i="4"/>
  <c r="Q265" i="4"/>
  <c r="P265" i="4"/>
  <c r="O265" i="4"/>
  <c r="M265" i="4"/>
  <c r="L265" i="4"/>
  <c r="K265" i="4"/>
  <c r="J265" i="4"/>
  <c r="G265" i="4"/>
  <c r="A265" i="4"/>
  <c r="P264" i="4"/>
  <c r="N264" i="4"/>
  <c r="M264" i="4"/>
  <c r="L264" i="4"/>
  <c r="J264" i="4"/>
  <c r="H264" i="4"/>
  <c r="G264" i="4"/>
  <c r="A264" i="4"/>
  <c r="W263" i="4"/>
  <c r="T263" i="4"/>
  <c r="P263" i="4"/>
  <c r="O263" i="4"/>
  <c r="L263" i="4"/>
  <c r="K263" i="4"/>
  <c r="G263" i="4"/>
  <c r="A263" i="4"/>
  <c r="V262" i="4"/>
  <c r="T262" i="4"/>
  <c r="M262" i="4"/>
  <c r="L262" i="4"/>
  <c r="K262" i="4"/>
  <c r="H262" i="4"/>
  <c r="A262" i="4"/>
  <c r="W261" i="4"/>
  <c r="V261" i="4"/>
  <c r="Q261" i="4"/>
  <c r="O261" i="4"/>
  <c r="M261" i="4"/>
  <c r="L261" i="4"/>
  <c r="K261" i="4"/>
  <c r="J261" i="4"/>
  <c r="H261" i="4"/>
  <c r="G261" i="4"/>
  <c r="A261" i="4"/>
  <c r="W260" i="4"/>
  <c r="V260" i="4"/>
  <c r="T260" i="4"/>
  <c r="Q260" i="4"/>
  <c r="O260" i="4"/>
  <c r="M260" i="4"/>
  <c r="H260" i="4"/>
  <c r="A260" i="4"/>
  <c r="W259" i="4"/>
  <c r="T259" i="4"/>
  <c r="R259" i="4"/>
  <c r="Q259" i="4"/>
  <c r="P259" i="4"/>
  <c r="O259" i="4"/>
  <c r="M259" i="4"/>
  <c r="J259" i="4"/>
  <c r="G259" i="4"/>
  <c r="A259" i="4"/>
  <c r="W258" i="4"/>
  <c r="V258" i="4"/>
  <c r="T258" i="4"/>
  <c r="S258" i="4"/>
  <c r="Q258" i="4"/>
  <c r="P258" i="4"/>
  <c r="O258" i="4"/>
  <c r="M258" i="4"/>
  <c r="H258" i="4"/>
  <c r="G258" i="4"/>
  <c r="A258" i="4"/>
  <c r="W257" i="4"/>
  <c r="V257" i="4"/>
  <c r="T257" i="4"/>
  <c r="R257" i="4"/>
  <c r="Q257" i="4"/>
  <c r="P257" i="4"/>
  <c r="N257" i="4"/>
  <c r="M257" i="4"/>
  <c r="H257" i="4"/>
  <c r="G257" i="4"/>
  <c r="A257" i="4"/>
  <c r="T256" i="4"/>
  <c r="R256" i="4"/>
  <c r="Q256" i="4"/>
  <c r="P256" i="4"/>
  <c r="O256" i="4"/>
  <c r="N256" i="4"/>
  <c r="K256" i="4"/>
  <c r="J256" i="4"/>
  <c r="G256" i="4"/>
  <c r="A256" i="4"/>
  <c r="W255" i="4"/>
  <c r="V255" i="4"/>
  <c r="T255" i="4"/>
  <c r="R255" i="4"/>
  <c r="Q255" i="4"/>
  <c r="O255" i="4"/>
  <c r="M255" i="4"/>
  <c r="L255" i="4"/>
  <c r="G255" i="4"/>
  <c r="A255" i="4"/>
  <c r="W254" i="4"/>
  <c r="V254" i="4"/>
  <c r="T254" i="4"/>
  <c r="Q254" i="4"/>
  <c r="P254" i="4"/>
  <c r="O254" i="4"/>
  <c r="N254" i="4"/>
  <c r="M254" i="4"/>
  <c r="L254" i="4"/>
  <c r="K254" i="4"/>
  <c r="G254" i="4"/>
  <c r="A254" i="4"/>
  <c r="W253" i="4"/>
  <c r="V253" i="4"/>
  <c r="T253" i="4"/>
  <c r="Q253" i="4"/>
  <c r="P253" i="4"/>
  <c r="O253" i="4"/>
  <c r="M253" i="4"/>
  <c r="L253" i="4"/>
  <c r="K253" i="4"/>
  <c r="J253" i="4"/>
  <c r="G253" i="4"/>
  <c r="A253" i="4"/>
  <c r="V252" i="4"/>
  <c r="T252" i="4"/>
  <c r="R252" i="4"/>
  <c r="Q252" i="4"/>
  <c r="O252" i="4"/>
  <c r="M252" i="4"/>
  <c r="L252" i="4"/>
  <c r="J252" i="4"/>
  <c r="G252" i="4"/>
  <c r="A252" i="4"/>
  <c r="W251" i="4"/>
  <c r="V251" i="4"/>
  <c r="T251" i="4"/>
  <c r="Q251" i="4"/>
  <c r="P251" i="4"/>
  <c r="O251" i="4"/>
  <c r="M251" i="4"/>
  <c r="L251" i="4"/>
  <c r="K251" i="4"/>
  <c r="J251" i="4"/>
  <c r="G251" i="4"/>
  <c r="A251" i="4"/>
  <c r="W250" i="4"/>
  <c r="T250" i="4"/>
  <c r="R250" i="4"/>
  <c r="Q250" i="4"/>
  <c r="P250" i="4"/>
  <c r="O250" i="4"/>
  <c r="J250" i="4"/>
  <c r="G250" i="4"/>
  <c r="A250" i="4"/>
  <c r="W249" i="4"/>
  <c r="V249" i="4"/>
  <c r="T249" i="4"/>
  <c r="P249" i="4"/>
  <c r="O249" i="4"/>
  <c r="L249" i="4"/>
  <c r="K249" i="4"/>
  <c r="G249" i="4"/>
  <c r="A249" i="4"/>
  <c r="T248" i="4"/>
  <c r="Q248" i="4"/>
  <c r="P248" i="4"/>
  <c r="O248" i="4"/>
  <c r="M248" i="4"/>
  <c r="L248" i="4"/>
  <c r="G248" i="4"/>
  <c r="A248" i="4"/>
  <c r="W247" i="4"/>
  <c r="V247" i="4"/>
  <c r="T247" i="4"/>
  <c r="R247" i="4"/>
  <c r="Q247" i="4"/>
  <c r="P247" i="4"/>
  <c r="O247" i="4"/>
  <c r="M247" i="4"/>
  <c r="L247" i="4"/>
  <c r="G247" i="4"/>
  <c r="A247" i="4"/>
  <c r="W246" i="4"/>
  <c r="T246" i="4"/>
  <c r="Q246" i="4"/>
  <c r="O246" i="4"/>
  <c r="N246" i="4"/>
  <c r="M246" i="4"/>
  <c r="L246" i="4"/>
  <c r="G246" i="4"/>
  <c r="A246" i="4"/>
  <c r="W245" i="4"/>
  <c r="V245" i="4"/>
  <c r="T245" i="4"/>
  <c r="R245" i="4"/>
  <c r="Q245" i="4"/>
  <c r="P245" i="4"/>
  <c r="O245" i="4"/>
  <c r="M245" i="4"/>
  <c r="L245" i="4"/>
  <c r="H245" i="4"/>
  <c r="G245" i="4"/>
  <c r="A245" i="4"/>
  <c r="W244" i="4"/>
  <c r="T244" i="4"/>
  <c r="S244" i="4"/>
  <c r="R244" i="4"/>
  <c r="Q244" i="4"/>
  <c r="P244" i="4"/>
  <c r="O244" i="4"/>
  <c r="N244" i="4"/>
  <c r="M244" i="4"/>
  <c r="G244" i="4"/>
  <c r="A244" i="4"/>
  <c r="W243" i="4"/>
  <c r="T243" i="4"/>
  <c r="R243" i="4"/>
  <c r="Q243" i="4"/>
  <c r="P243" i="4"/>
  <c r="O243" i="4"/>
  <c r="N243" i="4"/>
  <c r="M243" i="4"/>
  <c r="K243" i="4"/>
  <c r="G243" i="4"/>
  <c r="A243" i="4"/>
  <c r="V242" i="4"/>
  <c r="Q242" i="4"/>
  <c r="P242" i="4"/>
  <c r="O242" i="4"/>
  <c r="N242" i="4"/>
  <c r="M242" i="4"/>
  <c r="J242" i="4"/>
  <c r="G242" i="4"/>
  <c r="A242" i="4"/>
  <c r="W241" i="4"/>
  <c r="V241" i="4"/>
  <c r="T241" i="4"/>
  <c r="R241" i="4"/>
  <c r="Q241" i="4"/>
  <c r="O241" i="4"/>
  <c r="N241" i="4"/>
  <c r="M241" i="4"/>
  <c r="L241" i="4"/>
  <c r="A241" i="4"/>
  <c r="W240" i="4"/>
  <c r="Q240" i="4"/>
  <c r="P240" i="4"/>
  <c r="O240" i="4"/>
  <c r="L240" i="4"/>
  <c r="K240" i="4"/>
  <c r="A240" i="4"/>
  <c r="T239" i="4"/>
  <c r="S239" i="4"/>
  <c r="Q239" i="4"/>
  <c r="P239" i="4"/>
  <c r="O239" i="4"/>
  <c r="N239" i="4"/>
  <c r="M239" i="4"/>
  <c r="H239" i="4"/>
  <c r="A239" i="4"/>
  <c r="V238" i="4"/>
  <c r="T238" i="4"/>
  <c r="S238" i="4"/>
  <c r="R238" i="4"/>
  <c r="Q238" i="4"/>
  <c r="P238" i="4"/>
  <c r="O238" i="4"/>
  <c r="M238" i="4"/>
  <c r="A238" i="4"/>
  <c r="W237" i="4"/>
  <c r="V237" i="4"/>
  <c r="T237" i="4"/>
  <c r="P237" i="4"/>
  <c r="O237" i="4"/>
  <c r="N237" i="4"/>
  <c r="M237" i="4"/>
  <c r="H237" i="4"/>
  <c r="G237" i="4"/>
  <c r="A237" i="4"/>
  <c r="T236" i="4"/>
  <c r="S236" i="4"/>
  <c r="R236" i="4"/>
  <c r="O236" i="4"/>
  <c r="M236" i="4"/>
  <c r="A236" i="4"/>
  <c r="V235" i="4"/>
  <c r="T235" i="4"/>
  <c r="Q235" i="4"/>
  <c r="O235" i="4"/>
  <c r="L235" i="4"/>
  <c r="G235" i="4"/>
  <c r="A235" i="4"/>
  <c r="W234" i="4"/>
  <c r="V234" i="4"/>
  <c r="T234" i="4"/>
  <c r="R234" i="4"/>
  <c r="Q234" i="4"/>
  <c r="P234" i="4"/>
  <c r="O234" i="4"/>
  <c r="M234" i="4"/>
  <c r="L234" i="4"/>
  <c r="G234" i="4"/>
  <c r="A234" i="4"/>
  <c r="W233" i="4"/>
  <c r="V233" i="4"/>
  <c r="T233" i="4"/>
  <c r="R233" i="4"/>
  <c r="Q233" i="4"/>
  <c r="N233" i="4"/>
  <c r="M233" i="4"/>
  <c r="L233" i="4"/>
  <c r="K233" i="4"/>
  <c r="G233" i="4"/>
  <c r="A233" i="4"/>
  <c r="W232" i="4"/>
  <c r="V232" i="4"/>
  <c r="T232" i="4"/>
  <c r="S232" i="4"/>
  <c r="R232" i="4"/>
  <c r="Q232" i="4"/>
  <c r="P232" i="4"/>
  <c r="O232" i="4"/>
  <c r="M232" i="4"/>
  <c r="L232" i="4"/>
  <c r="G232" i="4"/>
  <c r="A232" i="4"/>
  <c r="W231" i="4"/>
  <c r="V231" i="4"/>
  <c r="T231" i="4"/>
  <c r="R231" i="4"/>
  <c r="Q231" i="4"/>
  <c r="P231" i="4"/>
  <c r="M231" i="4"/>
  <c r="L231" i="4"/>
  <c r="K231" i="4"/>
  <c r="G231" i="4"/>
  <c r="A231" i="4"/>
  <c r="W230" i="4"/>
  <c r="V230" i="4"/>
  <c r="T230" i="4"/>
  <c r="R230" i="4"/>
  <c r="Q230" i="4"/>
  <c r="P230" i="4"/>
  <c r="O230" i="4"/>
  <c r="M230" i="4"/>
  <c r="K230" i="4"/>
  <c r="G230" i="4"/>
  <c r="A230" i="4"/>
  <c r="W229" i="4"/>
  <c r="V229" i="4"/>
  <c r="T229" i="4"/>
  <c r="R229" i="4"/>
  <c r="Q229" i="4"/>
  <c r="O229" i="4"/>
  <c r="L229" i="4"/>
  <c r="K229" i="4"/>
  <c r="H229" i="4"/>
  <c r="G229" i="4"/>
  <c r="A229" i="4"/>
  <c r="W228" i="4"/>
  <c r="V228" i="4"/>
  <c r="T228" i="4"/>
  <c r="R228" i="4"/>
  <c r="Q228" i="4"/>
  <c r="O228" i="4"/>
  <c r="M228" i="4"/>
  <c r="L228" i="4"/>
  <c r="K228" i="4"/>
  <c r="J228" i="4"/>
  <c r="G228" i="4"/>
  <c r="A228" i="4"/>
  <c r="W227" i="4"/>
  <c r="V227" i="4"/>
  <c r="T227" i="4"/>
  <c r="Q227" i="4"/>
  <c r="O227" i="4"/>
  <c r="M227" i="4"/>
  <c r="L227" i="4"/>
  <c r="K227" i="4"/>
  <c r="G227" i="4"/>
  <c r="A227" i="4"/>
  <c r="V226" i="4"/>
  <c r="T226" i="4"/>
  <c r="R226" i="4"/>
  <c r="Q226" i="4"/>
  <c r="O226" i="4"/>
  <c r="M226" i="4"/>
  <c r="L226" i="4"/>
  <c r="J226" i="4"/>
  <c r="H226" i="4"/>
  <c r="G226" i="4"/>
  <c r="A226" i="4"/>
  <c r="V225" i="4"/>
  <c r="T225" i="4"/>
  <c r="Q225" i="4"/>
  <c r="O225" i="4"/>
  <c r="L225" i="4"/>
  <c r="G225" i="4"/>
  <c r="A225" i="4"/>
  <c r="T224" i="4"/>
  <c r="R224" i="4"/>
  <c r="O224" i="4"/>
  <c r="L224" i="4"/>
  <c r="H224" i="4"/>
  <c r="A224" i="4"/>
  <c r="T223" i="4"/>
  <c r="S223" i="4"/>
  <c r="R223" i="4"/>
  <c r="Q223" i="4"/>
  <c r="O223" i="4"/>
  <c r="N223" i="4"/>
  <c r="I223" i="4"/>
  <c r="H223" i="4"/>
  <c r="A223" i="4"/>
  <c r="W222" i="4"/>
  <c r="V222" i="4"/>
  <c r="U222" i="4"/>
  <c r="T222" i="4"/>
  <c r="R222" i="4"/>
  <c r="Q222" i="4"/>
  <c r="O222" i="4"/>
  <c r="N222" i="4"/>
  <c r="H222" i="4"/>
  <c r="A222" i="4"/>
  <c r="V221" i="4"/>
  <c r="T221" i="4"/>
  <c r="Q221" i="4"/>
  <c r="P221" i="4"/>
  <c r="O221" i="4"/>
  <c r="M221" i="4"/>
  <c r="L221" i="4"/>
  <c r="J221" i="4"/>
  <c r="G221" i="4"/>
  <c r="A221" i="4"/>
  <c r="W220" i="4"/>
  <c r="V220" i="4"/>
  <c r="T220" i="4"/>
  <c r="Q220" i="4"/>
  <c r="O220" i="4"/>
  <c r="M220" i="4"/>
  <c r="L220" i="4"/>
  <c r="H220" i="4"/>
  <c r="A220" i="4"/>
  <c r="W219" i="4"/>
  <c r="V219" i="4"/>
  <c r="T219" i="4"/>
  <c r="Q219" i="4"/>
  <c r="P219" i="4"/>
  <c r="O219" i="4"/>
  <c r="N219" i="4"/>
  <c r="M219" i="4"/>
  <c r="L219" i="4"/>
  <c r="K219" i="4"/>
  <c r="G219" i="4"/>
  <c r="A219" i="4"/>
  <c r="V218" i="4"/>
  <c r="T218" i="4"/>
  <c r="Q218" i="4"/>
  <c r="O218" i="4"/>
  <c r="M218" i="4"/>
  <c r="L218" i="4"/>
  <c r="H218" i="4"/>
  <c r="G218" i="4"/>
  <c r="A218" i="4"/>
  <c r="V217" i="4"/>
  <c r="T217" i="4"/>
  <c r="Q217" i="4"/>
  <c r="P217" i="4"/>
  <c r="O217" i="4"/>
  <c r="M217" i="4"/>
  <c r="L217" i="4"/>
  <c r="G217" i="4"/>
  <c r="A217" i="4"/>
  <c r="V216" i="4"/>
  <c r="T216" i="4"/>
  <c r="P216" i="4"/>
  <c r="N216" i="4"/>
  <c r="L216" i="4"/>
  <c r="K216" i="4"/>
  <c r="H216" i="4"/>
  <c r="A216" i="4"/>
  <c r="V215" i="4"/>
  <c r="T215" i="4"/>
  <c r="S215" i="4"/>
  <c r="Q215" i="4"/>
  <c r="O215" i="4"/>
  <c r="M215" i="4"/>
  <c r="L215" i="4"/>
  <c r="A215" i="4"/>
  <c r="V214" i="4"/>
  <c r="T214" i="4"/>
  <c r="R214" i="4"/>
  <c r="P214" i="4"/>
  <c r="N214" i="4"/>
  <c r="M214" i="4"/>
  <c r="K214" i="4"/>
  <c r="A214" i="4"/>
  <c r="W213" i="4"/>
  <c r="V213" i="4"/>
  <c r="T213" i="4"/>
  <c r="S213" i="4"/>
  <c r="R213" i="4"/>
  <c r="Q213" i="4"/>
  <c r="O213" i="4"/>
  <c r="L213" i="4"/>
  <c r="G213" i="4"/>
  <c r="A213" i="4"/>
  <c r="W212" i="4"/>
  <c r="V212" i="4"/>
  <c r="T212" i="4"/>
  <c r="Q212" i="4"/>
  <c r="P212" i="4"/>
  <c r="O212" i="4"/>
  <c r="M212" i="4"/>
  <c r="L212" i="4"/>
  <c r="K212" i="4"/>
  <c r="G212" i="4"/>
  <c r="A212" i="4"/>
  <c r="W211" i="4"/>
  <c r="V211" i="4"/>
  <c r="T211" i="4"/>
  <c r="R211" i="4"/>
  <c r="Q211" i="4"/>
  <c r="P211" i="4"/>
  <c r="O211" i="4"/>
  <c r="N211" i="4"/>
  <c r="M211" i="4"/>
  <c r="L211" i="4"/>
  <c r="K211" i="4"/>
  <c r="G211" i="4"/>
  <c r="A211" i="4"/>
  <c r="W210" i="4"/>
  <c r="V210" i="4"/>
  <c r="R210" i="4"/>
  <c r="Q210" i="4"/>
  <c r="P210" i="4"/>
  <c r="O210" i="4"/>
  <c r="M210" i="4"/>
  <c r="L210" i="4"/>
  <c r="K210" i="4"/>
  <c r="G210" i="4"/>
  <c r="A210" i="4"/>
  <c r="V209" i="4"/>
  <c r="T209" i="4"/>
  <c r="R209" i="4"/>
  <c r="Q209" i="4"/>
  <c r="P209" i="4"/>
  <c r="O209" i="4"/>
  <c r="K209" i="4"/>
  <c r="A209" i="4"/>
  <c r="V208" i="4"/>
  <c r="T208" i="4"/>
  <c r="Q208" i="4"/>
  <c r="O208" i="4"/>
  <c r="M208" i="4"/>
  <c r="L208" i="4"/>
  <c r="K208" i="4"/>
  <c r="H208" i="4"/>
  <c r="G208" i="4"/>
  <c r="A208" i="4"/>
  <c r="W207" i="4"/>
  <c r="T207" i="4"/>
  <c r="R207" i="4"/>
  <c r="Q207" i="4"/>
  <c r="P207" i="4"/>
  <c r="O207" i="4"/>
  <c r="N207" i="4"/>
  <c r="M207" i="4"/>
  <c r="A207" i="4"/>
  <c r="W206" i="4"/>
  <c r="P206" i="4"/>
  <c r="O206" i="4"/>
  <c r="M206" i="4"/>
  <c r="L206" i="4"/>
  <c r="K206" i="4"/>
  <c r="H206" i="4"/>
  <c r="A206" i="4"/>
  <c r="W205" i="4"/>
  <c r="T205" i="4"/>
  <c r="R205" i="4"/>
  <c r="O205" i="4"/>
  <c r="L205" i="4"/>
  <c r="H205" i="4"/>
  <c r="A205" i="4"/>
  <c r="U204" i="4"/>
  <c r="T204" i="4"/>
  <c r="R204" i="4"/>
  <c r="P204" i="4"/>
  <c r="O204" i="4"/>
  <c r="M204" i="4"/>
  <c r="H204" i="4"/>
  <c r="A204" i="4"/>
  <c r="W203" i="4"/>
  <c r="V203" i="4"/>
  <c r="T203" i="4"/>
  <c r="Q203" i="4"/>
  <c r="P203" i="4"/>
  <c r="O203" i="4"/>
  <c r="L203" i="4"/>
  <c r="G203" i="4"/>
  <c r="A203" i="4"/>
  <c r="T202" i="4"/>
  <c r="R202" i="4"/>
  <c r="Q202" i="4"/>
  <c r="O202" i="4"/>
  <c r="L202" i="4"/>
  <c r="A202" i="4"/>
  <c r="W201" i="4"/>
  <c r="V201" i="4"/>
  <c r="T201" i="4"/>
  <c r="R201" i="4"/>
  <c r="Q201" i="4"/>
  <c r="P201" i="4"/>
  <c r="O201" i="4"/>
  <c r="N201" i="4"/>
  <c r="A201" i="4"/>
  <c r="V200" i="4"/>
  <c r="T200" i="4"/>
  <c r="Q200" i="4"/>
  <c r="P200" i="4"/>
  <c r="O200" i="4"/>
  <c r="M200" i="4"/>
  <c r="J200" i="4"/>
  <c r="G200" i="4"/>
  <c r="A200" i="4"/>
  <c r="W199" i="4"/>
  <c r="T199" i="4"/>
  <c r="R199" i="4"/>
  <c r="Q199" i="4"/>
  <c r="P199" i="4"/>
  <c r="O199" i="4"/>
  <c r="N199" i="4"/>
  <c r="G199" i="4"/>
  <c r="A199" i="4"/>
  <c r="W198" i="4"/>
  <c r="V198" i="4"/>
  <c r="T198" i="4"/>
  <c r="R198" i="4"/>
  <c r="M198" i="4"/>
  <c r="L198" i="4"/>
  <c r="H198" i="4"/>
  <c r="A198" i="4"/>
  <c r="W197" i="4"/>
  <c r="T197" i="4"/>
  <c r="R197" i="4"/>
  <c r="Q197" i="4"/>
  <c r="O197" i="4"/>
  <c r="L197" i="4"/>
  <c r="J197" i="4"/>
  <c r="H197" i="4"/>
  <c r="G197" i="4"/>
  <c r="A197" i="4"/>
  <c r="W196" i="4"/>
  <c r="T196" i="4"/>
  <c r="R196" i="4"/>
  <c r="Q196" i="4"/>
  <c r="P196" i="4"/>
  <c r="O196" i="4"/>
  <c r="M196" i="4"/>
  <c r="K196" i="4"/>
  <c r="H196" i="4"/>
  <c r="G196" i="4"/>
  <c r="A196" i="4"/>
  <c r="W195" i="4"/>
  <c r="T195" i="4"/>
  <c r="R195" i="4"/>
  <c r="Q195" i="4"/>
  <c r="O195" i="4"/>
  <c r="N195" i="4"/>
  <c r="M195" i="4"/>
  <c r="L195" i="4"/>
  <c r="G195" i="4"/>
  <c r="A195" i="4"/>
  <c r="W194" i="4"/>
  <c r="V194" i="4"/>
  <c r="T194" i="4"/>
  <c r="R194" i="4"/>
  <c r="Q194" i="4"/>
  <c r="P194" i="4"/>
  <c r="O194" i="4"/>
  <c r="M194" i="4"/>
  <c r="L194" i="4"/>
  <c r="G194" i="4"/>
  <c r="A194" i="4"/>
  <c r="V193" i="4"/>
  <c r="T193" i="4"/>
  <c r="R193" i="4"/>
  <c r="Q193" i="4"/>
  <c r="O193" i="4"/>
  <c r="N193" i="4"/>
  <c r="L193" i="4"/>
  <c r="G193" i="4"/>
  <c r="A193" i="4"/>
  <c r="W192" i="4"/>
  <c r="V192" i="4"/>
  <c r="T192" i="4"/>
  <c r="P192" i="4"/>
  <c r="O192" i="4"/>
  <c r="M192" i="4"/>
  <c r="L192" i="4"/>
  <c r="H192" i="4"/>
  <c r="G192" i="4"/>
  <c r="A192" i="4"/>
  <c r="Q191" i="4"/>
  <c r="O191" i="4"/>
  <c r="L191" i="4"/>
  <c r="J191" i="4"/>
  <c r="I191" i="4"/>
  <c r="A191" i="4"/>
  <c r="W190" i="4"/>
  <c r="T190" i="4"/>
  <c r="Q190" i="4"/>
  <c r="O190" i="4"/>
  <c r="M190" i="4"/>
  <c r="K190" i="4"/>
  <c r="H190" i="4"/>
  <c r="G190" i="4"/>
  <c r="A190" i="4"/>
  <c r="R189" i="4"/>
  <c r="Q189" i="4"/>
  <c r="O189" i="4"/>
  <c r="M189" i="4"/>
  <c r="L189" i="4"/>
  <c r="A189" i="4"/>
  <c r="W188" i="4"/>
  <c r="V188" i="4"/>
  <c r="T188" i="4"/>
  <c r="R188" i="4"/>
  <c r="Q188" i="4"/>
  <c r="P188" i="4"/>
  <c r="O188" i="4"/>
  <c r="N188" i="4"/>
  <c r="K188" i="4"/>
  <c r="G188" i="4"/>
  <c r="A188" i="4"/>
  <c r="W187" i="4"/>
  <c r="V187" i="4"/>
  <c r="Q187" i="4"/>
  <c r="M187" i="4"/>
  <c r="H187" i="4"/>
  <c r="G187" i="4"/>
  <c r="A187" i="4"/>
  <c r="W186" i="4"/>
  <c r="V186" i="4"/>
  <c r="T186" i="4"/>
  <c r="Q186" i="4"/>
  <c r="P186" i="4"/>
  <c r="O186" i="4"/>
  <c r="N186" i="4"/>
  <c r="M186" i="4"/>
  <c r="L186" i="4"/>
  <c r="K186" i="4"/>
  <c r="G186" i="4"/>
  <c r="A186" i="4"/>
  <c r="V185" i="4"/>
  <c r="T185" i="4"/>
  <c r="R185" i="4"/>
  <c r="Q185" i="4"/>
  <c r="O185" i="4"/>
  <c r="M185" i="4"/>
  <c r="H185" i="4"/>
  <c r="A185" i="4"/>
  <c r="W184" i="4"/>
  <c r="T184" i="4"/>
  <c r="R184" i="4"/>
  <c r="P184" i="4"/>
  <c r="O184" i="4"/>
  <c r="M184" i="4"/>
  <c r="L184" i="4"/>
  <c r="K184" i="4"/>
  <c r="A184" i="4"/>
  <c r="T183" i="4"/>
  <c r="Q183" i="4"/>
  <c r="P183" i="4"/>
  <c r="O183" i="4"/>
  <c r="M183" i="4"/>
  <c r="L183" i="4"/>
  <c r="K183" i="4"/>
  <c r="J183" i="4"/>
  <c r="G183" i="4"/>
  <c r="A183" i="4"/>
  <c r="W182" i="4"/>
  <c r="V182" i="4"/>
  <c r="T182" i="4"/>
  <c r="Q182" i="4"/>
  <c r="P182" i="4"/>
  <c r="O182" i="4"/>
  <c r="M182" i="4"/>
  <c r="K182" i="4"/>
  <c r="G182" i="4"/>
  <c r="A182" i="4"/>
  <c r="W181" i="4"/>
  <c r="T181" i="4"/>
  <c r="O181" i="4"/>
  <c r="M181" i="4"/>
  <c r="K181" i="4"/>
  <c r="A181" i="4"/>
  <c r="W180" i="4"/>
  <c r="V180" i="4"/>
  <c r="T180" i="4"/>
  <c r="R180" i="4"/>
  <c r="Q180" i="4"/>
  <c r="P180" i="4"/>
  <c r="O180" i="4"/>
  <c r="K180" i="4"/>
  <c r="G180" i="4"/>
  <c r="A180" i="4"/>
  <c r="W179" i="4"/>
  <c r="T179" i="4"/>
  <c r="R179" i="4"/>
  <c r="Q179" i="4"/>
  <c r="O179" i="4"/>
  <c r="M179" i="4"/>
  <c r="L179" i="4"/>
  <c r="K179" i="4"/>
  <c r="A179" i="4"/>
  <c r="W178" i="4"/>
  <c r="V178" i="4"/>
  <c r="T178" i="4"/>
  <c r="R178" i="4"/>
  <c r="O178" i="4"/>
  <c r="N178" i="4"/>
  <c r="K178" i="4"/>
  <c r="A178" i="4"/>
  <c r="W177" i="4"/>
  <c r="T177" i="4"/>
  <c r="R177" i="4"/>
  <c r="P177" i="4"/>
  <c r="O177" i="4"/>
  <c r="K177" i="4"/>
  <c r="A177" i="4"/>
  <c r="V176" i="4"/>
  <c r="T176" i="4"/>
  <c r="R176" i="4"/>
  <c r="Q176" i="4"/>
  <c r="O176" i="4"/>
  <c r="M176" i="4"/>
  <c r="J176" i="4"/>
  <c r="G176" i="4"/>
  <c r="A176" i="4"/>
  <c r="W175" i="4"/>
  <c r="V175" i="4"/>
  <c r="R175" i="4"/>
  <c r="Q175" i="4"/>
  <c r="O175" i="4"/>
  <c r="N175" i="4"/>
  <c r="K175" i="4"/>
  <c r="H175" i="4"/>
  <c r="A175" i="4"/>
  <c r="W174" i="4"/>
  <c r="T174" i="4"/>
  <c r="R174" i="4"/>
  <c r="Q174" i="4"/>
  <c r="P174" i="4"/>
  <c r="O174" i="4"/>
  <c r="M174" i="4"/>
  <c r="G174" i="4"/>
  <c r="A174" i="4"/>
  <c r="W173" i="4"/>
  <c r="V173" i="4"/>
  <c r="Q173" i="4"/>
  <c r="P173" i="4"/>
  <c r="O173" i="4"/>
  <c r="M173" i="4"/>
  <c r="H173" i="4"/>
  <c r="A173" i="4"/>
  <c r="W172" i="4"/>
  <c r="V172" i="4"/>
  <c r="T172" i="4"/>
  <c r="R172" i="4"/>
  <c r="O172" i="4"/>
  <c r="N172" i="4"/>
  <c r="M172" i="4"/>
  <c r="L172" i="4"/>
  <c r="H172" i="4"/>
  <c r="A172" i="4"/>
  <c r="W171" i="4"/>
  <c r="V171" i="4"/>
  <c r="T171" i="4"/>
  <c r="Q171" i="4"/>
  <c r="P171" i="4"/>
  <c r="O171" i="4"/>
  <c r="M171" i="4"/>
  <c r="L171" i="4"/>
  <c r="H171" i="4"/>
  <c r="G171" i="4"/>
  <c r="A171" i="4"/>
  <c r="W170" i="4"/>
  <c r="V170" i="4"/>
  <c r="T170" i="4"/>
  <c r="Q170" i="4"/>
  <c r="O170" i="4"/>
  <c r="M170" i="4"/>
  <c r="L170" i="4"/>
  <c r="H170" i="4"/>
  <c r="A170" i="4"/>
  <c r="W169" i="4"/>
  <c r="V169" i="4"/>
  <c r="T169" i="4"/>
  <c r="R169" i="4"/>
  <c r="Q169" i="4"/>
  <c r="O169" i="4"/>
  <c r="M169" i="4"/>
  <c r="L169" i="4"/>
  <c r="J169" i="4"/>
  <c r="H169" i="4"/>
  <c r="G169" i="4"/>
  <c r="A169" i="4"/>
  <c r="W168" i="4"/>
  <c r="Q168" i="4"/>
  <c r="P168" i="4"/>
  <c r="O168" i="4"/>
  <c r="L168" i="4"/>
  <c r="J168" i="4"/>
  <c r="H168" i="4"/>
  <c r="G168" i="4"/>
  <c r="A168" i="4"/>
  <c r="V167" i="4"/>
  <c r="T167" i="4"/>
  <c r="R167" i="4"/>
  <c r="P167" i="4"/>
  <c r="N167" i="4"/>
  <c r="M167" i="4"/>
  <c r="L167" i="4"/>
  <c r="K167" i="4"/>
  <c r="J167" i="4"/>
  <c r="I167" i="4"/>
  <c r="H167" i="4"/>
  <c r="A167" i="4"/>
  <c r="W166" i="4"/>
  <c r="T166" i="4"/>
  <c r="S166" i="4"/>
  <c r="Q166" i="4"/>
  <c r="P166" i="4"/>
  <c r="O166" i="4"/>
  <c r="M166" i="4"/>
  <c r="J166" i="4"/>
  <c r="G166" i="4"/>
  <c r="A166" i="4"/>
  <c r="T165" i="4"/>
  <c r="R165" i="4"/>
  <c r="P165" i="4"/>
  <c r="N165" i="4"/>
  <c r="M165" i="4"/>
  <c r="L165" i="4"/>
  <c r="I165" i="4"/>
  <c r="H165" i="4"/>
  <c r="G165" i="4"/>
  <c r="A165" i="4"/>
  <c r="W164" i="4"/>
  <c r="V164" i="4"/>
  <c r="T164" i="4"/>
  <c r="Q164" i="4"/>
  <c r="P164" i="4"/>
  <c r="O164" i="4"/>
  <c r="M164" i="4"/>
  <c r="G164" i="4"/>
  <c r="A164" i="4"/>
  <c r="V163" i="4"/>
  <c r="T163" i="4"/>
  <c r="S163" i="4"/>
  <c r="Q163" i="4"/>
  <c r="O163" i="4"/>
  <c r="M163" i="4"/>
  <c r="L163" i="4"/>
  <c r="H163" i="4"/>
  <c r="A163" i="4"/>
  <c r="W162" i="4"/>
  <c r="V162" i="4"/>
  <c r="T162" i="4"/>
  <c r="Q162" i="4"/>
  <c r="O162" i="4"/>
  <c r="M162" i="4"/>
  <c r="L162" i="4"/>
  <c r="G162" i="4"/>
  <c r="A162" i="4"/>
  <c r="W161" i="4"/>
  <c r="V161" i="4"/>
  <c r="T161" i="4"/>
  <c r="Q161" i="4"/>
  <c r="P161" i="4"/>
  <c r="O161" i="4"/>
  <c r="N161" i="4"/>
  <c r="M161" i="4"/>
  <c r="K161" i="4"/>
  <c r="J161" i="4"/>
  <c r="G161" i="4"/>
  <c r="A161" i="4"/>
  <c r="W160" i="4"/>
  <c r="T160" i="4"/>
  <c r="Q160" i="4"/>
  <c r="P160" i="4"/>
  <c r="O160" i="4"/>
  <c r="M160" i="4"/>
  <c r="J160" i="4"/>
  <c r="H160" i="4"/>
  <c r="G160" i="4"/>
  <c r="A160" i="4"/>
  <c r="W159" i="4"/>
  <c r="V159" i="4"/>
  <c r="T159" i="4"/>
  <c r="R159" i="4"/>
  <c r="Q159" i="4"/>
  <c r="O159" i="4"/>
  <c r="N159" i="4"/>
  <c r="M159" i="4"/>
  <c r="G159" i="4"/>
  <c r="A159" i="4"/>
  <c r="W158" i="4"/>
  <c r="V158" i="4"/>
  <c r="T158" i="4"/>
  <c r="R158" i="4"/>
  <c r="Q158" i="4"/>
  <c r="P158" i="4"/>
  <c r="O158" i="4"/>
  <c r="N158" i="4"/>
  <c r="M158" i="4"/>
  <c r="J158" i="4"/>
  <c r="G158" i="4"/>
  <c r="A158" i="4"/>
  <c r="W157" i="4"/>
  <c r="T157" i="4"/>
  <c r="S157" i="4"/>
  <c r="R157" i="4"/>
  <c r="Q157" i="4"/>
  <c r="O157" i="4"/>
  <c r="M157" i="4"/>
  <c r="L157" i="4"/>
  <c r="H157" i="4"/>
  <c r="G157" i="4"/>
  <c r="A157" i="4"/>
  <c r="V156" i="4"/>
  <c r="T156" i="4"/>
  <c r="R156" i="4"/>
  <c r="Q156" i="4"/>
  <c r="P156" i="4"/>
  <c r="O156" i="4"/>
  <c r="N156" i="4"/>
  <c r="M156" i="4"/>
  <c r="K156" i="4"/>
  <c r="H156" i="4"/>
  <c r="A156" i="4"/>
  <c r="W155" i="4"/>
  <c r="T155" i="4"/>
  <c r="Q155" i="4"/>
  <c r="M155" i="4"/>
  <c r="L155" i="4"/>
  <c r="K155" i="4"/>
  <c r="H155" i="4"/>
  <c r="G155" i="4"/>
  <c r="A155" i="4"/>
  <c r="V154" i="4"/>
  <c r="T154" i="4"/>
  <c r="R154" i="4"/>
  <c r="P154" i="4"/>
  <c r="O154" i="4"/>
  <c r="A154" i="4"/>
  <c r="V153" i="4"/>
  <c r="T153" i="4"/>
  <c r="S153" i="4"/>
  <c r="P153" i="4"/>
  <c r="O153" i="4"/>
  <c r="L153" i="4"/>
  <c r="H153" i="4"/>
  <c r="A153" i="4"/>
  <c r="T152" i="4"/>
  <c r="R152" i="4"/>
  <c r="P152" i="4"/>
  <c r="O152" i="4"/>
  <c r="M152" i="4"/>
  <c r="L152" i="4"/>
  <c r="K152" i="4"/>
  <c r="J152" i="4"/>
  <c r="A152" i="4"/>
  <c r="V151" i="4"/>
  <c r="T151" i="4"/>
  <c r="R151" i="4"/>
  <c r="P151" i="4"/>
  <c r="O151" i="4"/>
  <c r="M151" i="4"/>
  <c r="L151" i="4"/>
  <c r="K151" i="4"/>
  <c r="A151" i="4"/>
  <c r="V150" i="4"/>
  <c r="T150" i="4"/>
  <c r="R150" i="4"/>
  <c r="P150" i="4"/>
  <c r="O150" i="4"/>
  <c r="L150" i="4"/>
  <c r="K150" i="4"/>
  <c r="H150" i="4"/>
  <c r="A150" i="4"/>
  <c r="W149" i="4"/>
  <c r="V149" i="4"/>
  <c r="R149" i="4"/>
  <c r="Q149" i="4"/>
  <c r="P149" i="4"/>
  <c r="O149" i="4"/>
  <c r="N149" i="4"/>
  <c r="M149" i="4"/>
  <c r="L149" i="4"/>
  <c r="K149" i="4"/>
  <c r="G149" i="4"/>
  <c r="A149" i="4"/>
  <c r="W148" i="4"/>
  <c r="V148" i="4"/>
  <c r="T148" i="4"/>
  <c r="R148" i="4"/>
  <c r="P148" i="4"/>
  <c r="O148" i="4"/>
  <c r="L148" i="4"/>
  <c r="A148" i="4"/>
  <c r="W147" i="4"/>
  <c r="V147" i="4"/>
  <c r="T147" i="4"/>
  <c r="P147" i="4"/>
  <c r="O147" i="4"/>
  <c r="M147" i="4"/>
  <c r="L147" i="4"/>
  <c r="J147" i="4"/>
  <c r="G147" i="4"/>
  <c r="A147" i="4"/>
  <c r="W146" i="4"/>
  <c r="V146" i="4"/>
  <c r="T146" i="4"/>
  <c r="R146" i="4"/>
  <c r="Q146" i="4"/>
  <c r="O146" i="4"/>
  <c r="N146" i="4"/>
  <c r="H146" i="4"/>
  <c r="F146" i="4"/>
  <c r="A146" i="4"/>
  <c r="W145" i="4"/>
  <c r="V145" i="4"/>
  <c r="T145" i="4"/>
  <c r="Q145" i="4"/>
  <c r="P145" i="4"/>
  <c r="O145" i="4"/>
  <c r="M145" i="4"/>
  <c r="L145" i="4"/>
  <c r="H145" i="4"/>
  <c r="G145" i="4"/>
  <c r="A145" i="4"/>
  <c r="W144" i="4"/>
  <c r="T144" i="4"/>
  <c r="S144" i="4"/>
  <c r="Q144" i="4"/>
  <c r="P144" i="4"/>
  <c r="O144" i="4"/>
  <c r="K144" i="4"/>
  <c r="G144" i="4"/>
  <c r="A144" i="4"/>
  <c r="V143" i="4"/>
  <c r="T143" i="4"/>
  <c r="R143" i="4"/>
  <c r="P143" i="4"/>
  <c r="O143" i="4"/>
  <c r="L143" i="4"/>
  <c r="H143" i="4"/>
  <c r="A143" i="4"/>
  <c r="Q142" i="4"/>
  <c r="P142" i="4"/>
  <c r="O142" i="4"/>
  <c r="N142" i="4"/>
  <c r="M142" i="4"/>
  <c r="L142" i="4"/>
  <c r="K142" i="4"/>
  <c r="J142" i="4"/>
  <c r="G142" i="4"/>
  <c r="A142" i="4"/>
  <c r="T141" i="4"/>
  <c r="S141" i="4"/>
  <c r="R141" i="4"/>
  <c r="Q141" i="4"/>
  <c r="P141" i="4"/>
  <c r="O141" i="4"/>
  <c r="L141" i="4"/>
  <c r="A141" i="4"/>
  <c r="V140" i="4"/>
  <c r="T140" i="4"/>
  <c r="P140" i="4"/>
  <c r="O140" i="4"/>
  <c r="M140" i="4"/>
  <c r="L140" i="4"/>
  <c r="H140" i="4"/>
  <c r="A140" i="4"/>
  <c r="V139" i="4"/>
  <c r="U139" i="4"/>
  <c r="T139" i="4"/>
  <c r="R139" i="4"/>
  <c r="Q139" i="4"/>
  <c r="O139" i="4"/>
  <c r="N139" i="4"/>
  <c r="L139" i="4"/>
  <c r="H139" i="4"/>
  <c r="F139" i="4"/>
  <c r="A139" i="4"/>
  <c r="V138" i="4"/>
  <c r="U138" i="4"/>
  <c r="T138" i="4"/>
  <c r="R138" i="4"/>
  <c r="O138" i="4"/>
  <c r="M138" i="4"/>
  <c r="L138" i="4"/>
  <c r="H138" i="4"/>
  <c r="A138" i="4"/>
  <c r="T137" i="4"/>
  <c r="S137" i="4"/>
  <c r="R137" i="4"/>
  <c r="N137" i="4"/>
  <c r="M137" i="4"/>
  <c r="K137" i="4"/>
  <c r="H137" i="4"/>
  <c r="A137" i="4"/>
  <c r="V136" i="4"/>
  <c r="T136" i="4"/>
  <c r="O136" i="4"/>
  <c r="M136" i="4"/>
  <c r="L136" i="4"/>
  <c r="K136" i="4"/>
  <c r="A136" i="4"/>
  <c r="T135" i="4"/>
  <c r="P135" i="4"/>
  <c r="M135" i="4"/>
  <c r="L135" i="4"/>
  <c r="K135" i="4"/>
  <c r="G135" i="4"/>
  <c r="A135" i="4"/>
  <c r="W134" i="4"/>
  <c r="V134" i="4"/>
  <c r="T134" i="4"/>
  <c r="R134" i="4"/>
  <c r="Q134" i="4"/>
  <c r="O134" i="4"/>
  <c r="N134" i="4"/>
  <c r="K134" i="4"/>
  <c r="A134" i="4"/>
  <c r="V133" i="4"/>
  <c r="T133" i="4"/>
  <c r="Q133" i="4"/>
  <c r="P133" i="4"/>
  <c r="O133" i="4"/>
  <c r="M133" i="4"/>
  <c r="L133" i="4"/>
  <c r="J133" i="4"/>
  <c r="G133" i="4"/>
  <c r="A133" i="4"/>
  <c r="W132" i="4"/>
  <c r="V132" i="4"/>
  <c r="T132" i="4"/>
  <c r="R132" i="4"/>
  <c r="P132" i="4"/>
  <c r="O132" i="4"/>
  <c r="N132" i="4"/>
  <c r="L132" i="4"/>
  <c r="A132" i="4"/>
  <c r="W131" i="4"/>
  <c r="V131" i="4"/>
  <c r="T131" i="4"/>
  <c r="S131" i="4"/>
  <c r="Q131" i="4"/>
  <c r="P131" i="4"/>
  <c r="O131" i="4"/>
  <c r="M131" i="4"/>
  <c r="L131" i="4"/>
  <c r="K131" i="4"/>
  <c r="G131" i="4"/>
  <c r="A131" i="4"/>
  <c r="V130" i="4"/>
  <c r="T130" i="4"/>
  <c r="S130" i="4"/>
  <c r="R130" i="4"/>
  <c r="O130" i="4"/>
  <c r="L130" i="4"/>
  <c r="H130" i="4"/>
  <c r="A130" i="4"/>
  <c r="T129" i="4"/>
  <c r="R129" i="4"/>
  <c r="Q129" i="4"/>
  <c r="O129" i="4"/>
  <c r="N129" i="4"/>
  <c r="M129" i="4"/>
  <c r="L129" i="4"/>
  <c r="K129" i="4"/>
  <c r="J129" i="4"/>
  <c r="H129" i="4"/>
  <c r="G129" i="4"/>
  <c r="A129" i="4"/>
  <c r="W128" i="4"/>
  <c r="V128" i="4"/>
  <c r="T128" i="4"/>
  <c r="Q128" i="4"/>
  <c r="P128" i="4"/>
  <c r="O128" i="4"/>
  <c r="L128" i="4"/>
  <c r="H128" i="4"/>
  <c r="A128" i="4"/>
  <c r="T127" i="4"/>
  <c r="R127" i="4"/>
  <c r="Q127" i="4"/>
  <c r="O127" i="4"/>
  <c r="M127" i="4"/>
  <c r="L127" i="4"/>
  <c r="A127" i="4"/>
  <c r="V126" i="4"/>
  <c r="T126" i="4"/>
  <c r="R126" i="4"/>
  <c r="Q126" i="4"/>
  <c r="O126" i="4"/>
  <c r="M126" i="4"/>
  <c r="K126" i="4"/>
  <c r="H126" i="4"/>
  <c r="A126" i="4"/>
  <c r="U125" i="4"/>
  <c r="T125" i="4"/>
  <c r="R125" i="4"/>
  <c r="O125" i="4"/>
  <c r="N125" i="4"/>
  <c r="M125" i="4"/>
  <c r="L125" i="4"/>
  <c r="F125" i="4"/>
  <c r="A125" i="4"/>
  <c r="W124" i="4"/>
  <c r="V124" i="4"/>
  <c r="T124" i="4"/>
  <c r="R124" i="4"/>
  <c r="Q124" i="4"/>
  <c r="O124" i="4"/>
  <c r="M124" i="4"/>
  <c r="A124" i="4"/>
  <c r="W123" i="4"/>
  <c r="S123" i="4"/>
  <c r="R123" i="4"/>
  <c r="P123" i="4"/>
  <c r="O123" i="4"/>
  <c r="N123" i="4"/>
  <c r="A123" i="4"/>
  <c r="W122" i="4"/>
  <c r="V122" i="4"/>
  <c r="S122" i="4"/>
  <c r="Q122" i="4"/>
  <c r="P122" i="4"/>
  <c r="O122" i="4"/>
  <c r="L122" i="4"/>
  <c r="G122" i="4"/>
  <c r="A122" i="4"/>
  <c r="V121" i="4"/>
  <c r="T121" i="4"/>
  <c r="Q121" i="4"/>
  <c r="P121" i="4"/>
  <c r="O121" i="4"/>
  <c r="N121" i="4"/>
  <c r="K121" i="4"/>
  <c r="J121" i="4"/>
  <c r="G121" i="4"/>
  <c r="A121" i="4"/>
  <c r="V120" i="4"/>
  <c r="T120" i="4"/>
  <c r="S120" i="4"/>
  <c r="Q120" i="4"/>
  <c r="P120" i="4"/>
  <c r="O120" i="4"/>
  <c r="M120" i="4"/>
  <c r="L120" i="4"/>
  <c r="K120" i="4"/>
  <c r="G120" i="4"/>
  <c r="A120" i="4"/>
  <c r="V119" i="4"/>
  <c r="T119" i="4"/>
  <c r="S119" i="4"/>
  <c r="Q119" i="4"/>
  <c r="P119" i="4"/>
  <c r="O119" i="4"/>
  <c r="L119" i="4"/>
  <c r="H119" i="4"/>
  <c r="A119" i="4"/>
  <c r="V118" i="4"/>
  <c r="T118" i="4"/>
  <c r="R118" i="4"/>
  <c r="O118" i="4"/>
  <c r="N118" i="4"/>
  <c r="L118" i="4"/>
  <c r="K118" i="4"/>
  <c r="I118" i="4"/>
  <c r="H118" i="4"/>
  <c r="F118" i="4"/>
  <c r="A118" i="4"/>
  <c r="V117" i="4"/>
  <c r="T117" i="4"/>
  <c r="S117" i="4"/>
  <c r="R117" i="4"/>
  <c r="Q117" i="4"/>
  <c r="O117" i="4"/>
  <c r="M117" i="4"/>
  <c r="L117" i="4"/>
  <c r="J117" i="4"/>
  <c r="G117" i="4"/>
  <c r="A117" i="4"/>
  <c r="V116" i="4"/>
  <c r="T116" i="4"/>
  <c r="R116" i="4"/>
  <c r="P116" i="4"/>
  <c r="O116" i="4"/>
  <c r="N116" i="4"/>
  <c r="M116" i="4"/>
  <c r="K116" i="4"/>
  <c r="G116" i="4"/>
  <c r="A116" i="4"/>
  <c r="V115" i="4"/>
  <c r="T115" i="4"/>
  <c r="Q115" i="4"/>
  <c r="O115" i="4"/>
  <c r="M115" i="4"/>
  <c r="L115" i="4"/>
  <c r="K115" i="4"/>
  <c r="J115" i="4"/>
  <c r="H115" i="4"/>
  <c r="G115" i="4"/>
  <c r="A115" i="4"/>
  <c r="W114" i="4"/>
  <c r="V114" i="4"/>
  <c r="R114" i="4"/>
  <c r="Q114" i="4"/>
  <c r="P114" i="4"/>
  <c r="O114" i="4"/>
  <c r="M114" i="4"/>
  <c r="A114" i="4"/>
  <c r="W113" i="4"/>
  <c r="V113" i="4"/>
  <c r="P113" i="4"/>
  <c r="O113" i="4"/>
  <c r="N113" i="4"/>
  <c r="L113" i="4"/>
  <c r="K113" i="4"/>
  <c r="H113" i="4"/>
  <c r="A113" i="4"/>
  <c r="W112" i="4"/>
  <c r="V112" i="4"/>
  <c r="R112" i="4"/>
  <c r="Q112" i="4"/>
  <c r="P112" i="4"/>
  <c r="O112" i="4"/>
  <c r="A112" i="4"/>
  <c r="W111" i="4"/>
  <c r="V111" i="4"/>
  <c r="T111" i="4"/>
  <c r="O111" i="4"/>
  <c r="L111" i="4"/>
  <c r="K111" i="4"/>
  <c r="H111" i="4"/>
  <c r="A111" i="4"/>
  <c r="W110" i="4"/>
  <c r="T110" i="4"/>
  <c r="R110" i="4"/>
  <c r="Q110" i="4"/>
  <c r="P110" i="4"/>
  <c r="O110" i="4"/>
  <c r="N110" i="4"/>
  <c r="L110" i="4"/>
  <c r="A110" i="4"/>
  <c r="W109" i="4"/>
  <c r="V109" i="4"/>
  <c r="T109" i="4"/>
  <c r="R109" i="4"/>
  <c r="P109" i="4"/>
  <c r="O109" i="4"/>
  <c r="M109" i="4"/>
  <c r="L109" i="4"/>
  <c r="H109" i="4"/>
  <c r="A109" i="4"/>
  <c r="V108" i="4"/>
  <c r="T108" i="4"/>
  <c r="R108" i="4"/>
  <c r="Q108" i="4"/>
  <c r="P108" i="4"/>
  <c r="O108" i="4"/>
  <c r="L108" i="4"/>
  <c r="K108" i="4"/>
  <c r="H108" i="4"/>
  <c r="G108" i="4"/>
  <c r="A108" i="4"/>
  <c r="T107" i="4"/>
  <c r="R107" i="4"/>
  <c r="O107" i="4"/>
  <c r="N107" i="4"/>
  <c r="M107" i="4"/>
  <c r="L107" i="4"/>
  <c r="H107" i="4"/>
  <c r="A107" i="4"/>
  <c r="W106" i="4"/>
  <c r="V106" i="4"/>
  <c r="T106" i="4"/>
  <c r="R106" i="4"/>
  <c r="Q106" i="4"/>
  <c r="P106" i="4"/>
  <c r="O106" i="4"/>
  <c r="L106" i="4"/>
  <c r="J106" i="4"/>
  <c r="G106" i="4"/>
  <c r="A106" i="4"/>
  <c r="W105" i="4"/>
  <c r="V105" i="4"/>
  <c r="T105" i="4"/>
  <c r="R105" i="4"/>
  <c r="P105" i="4"/>
  <c r="M105" i="4"/>
  <c r="L105" i="4"/>
  <c r="G105" i="4"/>
  <c r="A105" i="4"/>
  <c r="W104" i="4"/>
  <c r="V104" i="4"/>
  <c r="T104" i="4"/>
  <c r="R104" i="4"/>
  <c r="O104" i="4"/>
  <c r="L104" i="4"/>
  <c r="K104" i="4"/>
  <c r="J104" i="4"/>
  <c r="G104" i="4"/>
  <c r="A104" i="4"/>
  <c r="W103" i="4"/>
  <c r="V103" i="4"/>
  <c r="T103" i="4"/>
  <c r="R103" i="4"/>
  <c r="Q103" i="4"/>
  <c r="N103" i="4"/>
  <c r="M103" i="4"/>
  <c r="L103" i="4"/>
  <c r="G103" i="4"/>
  <c r="A103" i="4"/>
  <c r="W102" i="4"/>
  <c r="V102" i="4"/>
  <c r="T102" i="4"/>
  <c r="Q102" i="4"/>
  <c r="P102" i="4"/>
  <c r="M102" i="4"/>
  <c r="L102" i="4"/>
  <c r="K102" i="4"/>
  <c r="H102" i="4"/>
  <c r="G102" i="4"/>
  <c r="A102" i="4"/>
  <c r="W101" i="4"/>
  <c r="V101" i="4"/>
  <c r="T101" i="4"/>
  <c r="R101" i="4"/>
  <c r="Q101" i="4"/>
  <c r="O101" i="4"/>
  <c r="M101" i="4"/>
  <c r="L101" i="4"/>
  <c r="J101" i="4"/>
  <c r="H101" i="4"/>
  <c r="A101" i="4"/>
  <c r="W100" i="4"/>
  <c r="V100" i="4"/>
  <c r="T100" i="4"/>
  <c r="Q100" i="4"/>
  <c r="P100" i="4"/>
  <c r="M100" i="4"/>
  <c r="L100" i="4"/>
  <c r="K100" i="4"/>
  <c r="H100" i="4"/>
  <c r="G100" i="4"/>
  <c r="A100" i="4"/>
  <c r="W99" i="4"/>
  <c r="V99" i="4"/>
  <c r="T99" i="4"/>
  <c r="R99" i="4"/>
  <c r="P99" i="4"/>
  <c r="O99" i="4"/>
  <c r="N99" i="4"/>
  <c r="L99" i="4"/>
  <c r="K99" i="4"/>
  <c r="A99" i="4"/>
  <c r="W98" i="4"/>
  <c r="V98" i="4"/>
  <c r="T98" i="4"/>
  <c r="R98" i="4"/>
  <c r="Q98" i="4"/>
  <c r="P98" i="4"/>
  <c r="O98" i="4"/>
  <c r="L98" i="4"/>
  <c r="H98" i="4"/>
  <c r="G98" i="4"/>
  <c r="A98" i="4"/>
  <c r="W97" i="4"/>
  <c r="V97" i="4"/>
  <c r="T97" i="4"/>
  <c r="R97" i="4"/>
  <c r="Q97" i="4"/>
  <c r="O97" i="4"/>
  <c r="L97" i="4"/>
  <c r="J97" i="4"/>
  <c r="A97" i="4"/>
  <c r="W96" i="4"/>
  <c r="V96" i="4"/>
  <c r="T96" i="4"/>
  <c r="R96" i="4"/>
  <c r="Q96" i="4"/>
  <c r="P96" i="4"/>
  <c r="O96" i="4"/>
  <c r="M96" i="4"/>
  <c r="L96" i="4"/>
  <c r="H96" i="4"/>
  <c r="G96" i="4"/>
  <c r="A96" i="4"/>
  <c r="T95" i="4"/>
  <c r="R95" i="4"/>
  <c r="Q95" i="4"/>
  <c r="O95" i="4"/>
  <c r="M95" i="4"/>
  <c r="A95" i="4"/>
  <c r="W94" i="4"/>
  <c r="V94" i="4"/>
  <c r="R94" i="4"/>
  <c r="Q94" i="4"/>
  <c r="P94" i="4"/>
  <c r="O94" i="4"/>
  <c r="N94" i="4"/>
  <c r="M94" i="4"/>
  <c r="G94" i="4"/>
  <c r="A94" i="4"/>
  <c r="W93" i="4"/>
  <c r="V93" i="4"/>
  <c r="T93" i="4"/>
  <c r="R93" i="4"/>
  <c r="Q93" i="4"/>
  <c r="P93" i="4"/>
  <c r="O93" i="4"/>
  <c r="N93" i="4"/>
  <c r="M93" i="4"/>
  <c r="G93" i="4"/>
  <c r="A93" i="4"/>
  <c r="W92" i="4"/>
  <c r="V92" i="4"/>
  <c r="R92" i="4"/>
  <c r="P92" i="4"/>
  <c r="O92" i="4"/>
  <c r="M92" i="4"/>
  <c r="L92" i="4"/>
  <c r="K92" i="4"/>
  <c r="A92" i="4"/>
  <c r="W91" i="4"/>
  <c r="V91" i="4"/>
  <c r="U91" i="4"/>
  <c r="T91" i="4"/>
  <c r="R91" i="4"/>
  <c r="Q91" i="4"/>
  <c r="O91" i="4"/>
  <c r="M91" i="4"/>
  <c r="L91" i="4"/>
  <c r="A91" i="4"/>
  <c r="W90" i="4"/>
  <c r="V90" i="4"/>
  <c r="T90" i="4"/>
  <c r="P90" i="4"/>
  <c r="O90" i="4"/>
  <c r="M90" i="4"/>
  <c r="L90" i="4"/>
  <c r="K90" i="4"/>
  <c r="A90" i="4"/>
  <c r="V89" i="4"/>
  <c r="T89" i="4"/>
  <c r="R89" i="4"/>
  <c r="Q89" i="4"/>
  <c r="O89" i="4"/>
  <c r="N89" i="4"/>
  <c r="M89" i="4"/>
  <c r="K89" i="4"/>
  <c r="I89" i="4"/>
  <c r="G89" i="4"/>
  <c r="A89" i="4"/>
  <c r="W88" i="4"/>
  <c r="T88" i="4"/>
  <c r="R88" i="4"/>
  <c r="Q88" i="4"/>
  <c r="P88" i="4"/>
  <c r="O88" i="4"/>
  <c r="M88" i="4"/>
  <c r="L88" i="4"/>
  <c r="K88" i="4"/>
  <c r="J88" i="4"/>
  <c r="G88" i="4"/>
  <c r="A88" i="4"/>
  <c r="T87" i="4"/>
  <c r="R87" i="4"/>
  <c r="Q87" i="4"/>
  <c r="N87" i="4"/>
  <c r="M87" i="4"/>
  <c r="L87" i="4"/>
  <c r="K87" i="4"/>
  <c r="J87" i="4"/>
  <c r="A87" i="4"/>
  <c r="W86" i="4"/>
  <c r="V86" i="4"/>
  <c r="T86" i="4"/>
  <c r="R86" i="4"/>
  <c r="Q86" i="4"/>
  <c r="O86" i="4"/>
  <c r="M86" i="4"/>
  <c r="K86" i="4"/>
  <c r="G86" i="4"/>
  <c r="A86" i="4"/>
  <c r="W85" i="4"/>
  <c r="T85" i="4"/>
  <c r="R85" i="4"/>
  <c r="Q85" i="4"/>
  <c r="L85" i="4"/>
  <c r="K85" i="4"/>
  <c r="J85" i="4"/>
  <c r="H85" i="4"/>
  <c r="A85" i="4"/>
  <c r="W84" i="4"/>
  <c r="V84" i="4"/>
  <c r="T84" i="4"/>
  <c r="R84" i="4"/>
  <c r="Q84" i="4"/>
  <c r="O84" i="4"/>
  <c r="N84" i="4"/>
  <c r="L84" i="4"/>
  <c r="K84" i="4"/>
  <c r="G84" i="4"/>
  <c r="A84" i="4"/>
  <c r="W83" i="4"/>
  <c r="V83" i="4"/>
  <c r="T83" i="4"/>
  <c r="Q83" i="4"/>
  <c r="P83" i="4"/>
  <c r="O83" i="4"/>
  <c r="L83" i="4"/>
  <c r="K83" i="4"/>
  <c r="J83" i="4"/>
  <c r="A83" i="4"/>
  <c r="W82" i="4"/>
  <c r="V82" i="4"/>
  <c r="U82" i="4"/>
  <c r="T82" i="4"/>
  <c r="R82" i="4"/>
  <c r="Q82" i="4"/>
  <c r="P82" i="4"/>
  <c r="O82" i="4"/>
  <c r="N82" i="4"/>
  <c r="A82" i="4"/>
  <c r="W81" i="4"/>
  <c r="V81" i="4"/>
  <c r="U81" i="4"/>
  <c r="T81" i="4"/>
  <c r="Q81" i="4"/>
  <c r="P81" i="4"/>
  <c r="O81" i="4"/>
  <c r="N81" i="4"/>
  <c r="L81" i="4"/>
  <c r="A81" i="4"/>
  <c r="V80" i="4"/>
  <c r="T80" i="4"/>
  <c r="R80" i="4"/>
  <c r="Q80" i="4"/>
  <c r="P80" i="4"/>
  <c r="O80" i="4"/>
  <c r="N80" i="4"/>
  <c r="M80" i="4"/>
  <c r="K80" i="4"/>
  <c r="G80" i="4"/>
  <c r="A80" i="4"/>
  <c r="W79" i="4"/>
  <c r="V79" i="4"/>
  <c r="T79" i="4"/>
  <c r="R79" i="4"/>
  <c r="Q79" i="4"/>
  <c r="O79" i="4"/>
  <c r="N79" i="4"/>
  <c r="L79" i="4"/>
  <c r="A79" i="4"/>
  <c r="W78" i="4"/>
  <c r="V78" i="4"/>
  <c r="T78" i="4"/>
  <c r="R78" i="4"/>
  <c r="Q78" i="4"/>
  <c r="P78" i="4"/>
  <c r="O78" i="4"/>
  <c r="N78" i="4"/>
  <c r="L78" i="4"/>
  <c r="K78" i="4"/>
  <c r="G78" i="4"/>
  <c r="A78" i="4"/>
  <c r="W77" i="4"/>
  <c r="V77" i="4"/>
  <c r="T77" i="4"/>
  <c r="R77" i="4"/>
  <c r="Q77" i="4"/>
  <c r="P77" i="4"/>
  <c r="O77" i="4"/>
  <c r="N77" i="4"/>
  <c r="M77" i="4"/>
  <c r="G77" i="4"/>
  <c r="A77" i="4"/>
  <c r="W76" i="4"/>
  <c r="V76" i="4"/>
  <c r="T76" i="4"/>
  <c r="R76" i="4"/>
  <c r="Q76" i="4"/>
  <c r="P76" i="4"/>
  <c r="O76" i="4"/>
  <c r="M76" i="4"/>
  <c r="L76" i="4"/>
  <c r="J76" i="4"/>
  <c r="G76" i="4"/>
  <c r="A76" i="4"/>
  <c r="W75" i="4"/>
  <c r="V75" i="4"/>
  <c r="T75" i="4"/>
  <c r="P75" i="4"/>
  <c r="O75" i="4"/>
  <c r="L75" i="4"/>
  <c r="K75" i="4"/>
  <c r="H75" i="4"/>
  <c r="A75" i="4"/>
  <c r="W74" i="4"/>
  <c r="T74" i="4"/>
  <c r="S74" i="4"/>
  <c r="P74" i="4"/>
  <c r="O74" i="4"/>
  <c r="N74" i="4"/>
  <c r="M74" i="4"/>
  <c r="L74" i="4"/>
  <c r="A74" i="4"/>
  <c r="W73" i="4"/>
  <c r="V73" i="4"/>
  <c r="T73" i="4"/>
  <c r="Q73" i="4"/>
  <c r="P73" i="4"/>
  <c r="O73" i="4"/>
  <c r="N73" i="4"/>
  <c r="M73" i="4"/>
  <c r="L73" i="4"/>
  <c r="A73" i="4"/>
  <c r="T72" i="4"/>
  <c r="Q72" i="4"/>
  <c r="O72" i="4"/>
  <c r="L72" i="4"/>
  <c r="K72" i="4"/>
  <c r="H72" i="4"/>
  <c r="A72" i="4"/>
  <c r="W71" i="4"/>
  <c r="T71" i="4"/>
  <c r="R71" i="4"/>
  <c r="Q71" i="4"/>
  <c r="P71" i="4"/>
  <c r="M71" i="4"/>
  <c r="L71" i="4"/>
  <c r="H71" i="4"/>
  <c r="G71" i="4"/>
  <c r="A71" i="4"/>
  <c r="U70" i="4"/>
  <c r="T70" i="4"/>
  <c r="S70" i="4"/>
  <c r="R70" i="4"/>
  <c r="Q70" i="4"/>
  <c r="O70" i="4"/>
  <c r="L70" i="4"/>
  <c r="H70" i="4"/>
  <c r="A70" i="4"/>
  <c r="T69" i="4"/>
  <c r="R69" i="4"/>
  <c r="N69" i="4"/>
  <c r="K69" i="4"/>
  <c r="I69" i="4"/>
  <c r="H69" i="4"/>
  <c r="A69" i="4"/>
  <c r="V68" i="4"/>
  <c r="T68" i="4"/>
  <c r="Q68" i="4"/>
  <c r="O68" i="4"/>
  <c r="N68" i="4"/>
  <c r="M68" i="4"/>
  <c r="H68" i="4"/>
  <c r="G68" i="4"/>
  <c r="A68" i="4"/>
  <c r="V67" i="4"/>
  <c r="T67" i="4"/>
  <c r="R67" i="4"/>
  <c r="Q67" i="4"/>
  <c r="P67" i="4"/>
  <c r="O67" i="4"/>
  <c r="N67" i="4"/>
  <c r="I67" i="4"/>
  <c r="H67" i="4"/>
  <c r="A67" i="4"/>
  <c r="V66" i="4"/>
  <c r="T66" i="4"/>
  <c r="R66" i="4"/>
  <c r="Q66" i="4"/>
  <c r="O66" i="4"/>
  <c r="N66" i="4"/>
  <c r="M66" i="4"/>
  <c r="G66" i="4"/>
  <c r="A66" i="4"/>
  <c r="W65" i="4"/>
  <c r="V65" i="4"/>
  <c r="T65" i="4"/>
  <c r="Q65" i="4"/>
  <c r="P65" i="4"/>
  <c r="O65" i="4"/>
  <c r="M65" i="4"/>
  <c r="L65" i="4"/>
  <c r="G65" i="4"/>
  <c r="A65" i="4"/>
  <c r="W64" i="4"/>
  <c r="V64" i="4"/>
  <c r="T64" i="4"/>
  <c r="R64" i="4"/>
  <c r="Q64" i="4"/>
  <c r="P64" i="4"/>
  <c r="O64" i="4"/>
  <c r="N64" i="4"/>
  <c r="M64" i="4"/>
  <c r="K64" i="4"/>
  <c r="G64" i="4"/>
  <c r="A64" i="4"/>
  <c r="W63" i="4"/>
  <c r="V63" i="4"/>
  <c r="T63" i="4"/>
  <c r="R63" i="4"/>
  <c r="Q63" i="4"/>
  <c r="P63" i="4"/>
  <c r="O63" i="4"/>
  <c r="N63" i="4"/>
  <c r="M63" i="4"/>
  <c r="A63" i="4"/>
  <c r="W62" i="4"/>
  <c r="V62" i="4"/>
  <c r="T62" i="4"/>
  <c r="Q62" i="4"/>
  <c r="P62" i="4"/>
  <c r="O62" i="4"/>
  <c r="M62" i="4"/>
  <c r="K62" i="4"/>
  <c r="H62" i="4"/>
  <c r="G62" i="4"/>
  <c r="A62" i="4"/>
  <c r="W61" i="4"/>
  <c r="V61" i="4"/>
  <c r="T61" i="4"/>
  <c r="R61" i="4"/>
  <c r="Q61" i="4"/>
  <c r="O61" i="4"/>
  <c r="N61" i="4"/>
  <c r="M61" i="4"/>
  <c r="H61" i="4"/>
  <c r="A61" i="4"/>
  <c r="W60" i="4"/>
  <c r="V60" i="4"/>
  <c r="T60" i="4"/>
  <c r="R60" i="4"/>
  <c r="Q60" i="4"/>
  <c r="P60" i="4"/>
  <c r="O60" i="4"/>
  <c r="N60" i="4"/>
  <c r="M60" i="4"/>
  <c r="H60" i="4"/>
  <c r="A60" i="4"/>
  <c r="W59" i="4"/>
  <c r="T59" i="4"/>
  <c r="Q59" i="4"/>
  <c r="O59" i="4"/>
  <c r="M59" i="4"/>
  <c r="L59" i="4"/>
  <c r="J59" i="4"/>
  <c r="H59" i="4"/>
  <c r="A59" i="4"/>
  <c r="T58" i="4"/>
  <c r="R58" i="4"/>
  <c r="Q58" i="4"/>
  <c r="O58" i="4"/>
  <c r="N58" i="4"/>
  <c r="M58" i="4"/>
  <c r="K58" i="4"/>
  <c r="H58" i="4"/>
  <c r="F58" i="4"/>
  <c r="A58" i="4"/>
  <c r="W57" i="4"/>
  <c r="V57" i="4"/>
  <c r="T57" i="4"/>
  <c r="Q57" i="4"/>
  <c r="P57" i="4"/>
  <c r="H57" i="4"/>
  <c r="A57" i="4"/>
  <c r="U56" i="4"/>
  <c r="T56" i="4"/>
  <c r="S56" i="4"/>
  <c r="R56" i="4"/>
  <c r="O56" i="4"/>
  <c r="N56" i="4"/>
  <c r="L56" i="4"/>
  <c r="K56" i="4"/>
  <c r="H56" i="4"/>
  <c r="F56" i="4"/>
  <c r="A56" i="4"/>
  <c r="V55" i="4"/>
  <c r="U55" i="4"/>
  <c r="T55" i="4"/>
  <c r="S55" i="4"/>
  <c r="R55" i="4"/>
  <c r="P55" i="4"/>
  <c r="O55" i="4"/>
  <c r="N55" i="4"/>
  <c r="A55" i="4"/>
  <c r="T54" i="4"/>
  <c r="R54" i="4"/>
  <c r="Q54" i="4"/>
  <c r="O54" i="4"/>
  <c r="N54" i="4"/>
  <c r="L54" i="4"/>
  <c r="K54" i="4"/>
  <c r="A54" i="4"/>
  <c r="W53" i="4"/>
  <c r="T53" i="4"/>
  <c r="R53" i="4"/>
  <c r="Q53" i="4"/>
  <c r="P53" i="4"/>
  <c r="O53" i="4"/>
  <c r="N53" i="4"/>
  <c r="M53" i="4"/>
  <c r="L53" i="4"/>
  <c r="K53" i="4"/>
  <c r="G53" i="4"/>
  <c r="A53" i="4"/>
  <c r="U52" i="4"/>
  <c r="R52" i="4"/>
  <c r="P52" i="4"/>
  <c r="O52" i="4"/>
  <c r="L52" i="4"/>
  <c r="K52" i="4"/>
  <c r="A52" i="4"/>
  <c r="W51" i="4"/>
  <c r="V51" i="4"/>
  <c r="T51" i="4"/>
  <c r="R51" i="4"/>
  <c r="Q51" i="4"/>
  <c r="P51" i="4"/>
  <c r="O51" i="4"/>
  <c r="N51" i="4"/>
  <c r="M51" i="4"/>
  <c r="L51" i="4"/>
  <c r="G51" i="4"/>
  <c r="A51" i="4"/>
  <c r="S50" i="4"/>
  <c r="R50" i="4"/>
  <c r="Q50" i="4"/>
  <c r="P50" i="4"/>
  <c r="O50" i="4"/>
  <c r="M50" i="4"/>
  <c r="L50" i="4"/>
  <c r="K50" i="4"/>
  <c r="G50" i="4"/>
  <c r="A50" i="4"/>
  <c r="W49" i="4"/>
  <c r="V49" i="4"/>
  <c r="T49" i="4"/>
  <c r="S49" i="4"/>
  <c r="Q49" i="4"/>
  <c r="P49" i="4"/>
  <c r="O49" i="4"/>
  <c r="M49" i="4"/>
  <c r="L49" i="4"/>
  <c r="J49" i="4"/>
  <c r="G49" i="4"/>
  <c r="A49" i="4"/>
  <c r="U48" i="4"/>
  <c r="T48" i="4"/>
  <c r="S48" i="4"/>
  <c r="R48" i="4"/>
  <c r="P48" i="4"/>
  <c r="O48" i="4"/>
  <c r="N48" i="4"/>
  <c r="H48" i="4"/>
  <c r="F48" i="4"/>
  <c r="A48" i="4"/>
  <c r="W47" i="4"/>
  <c r="T47" i="4"/>
  <c r="S47" i="4"/>
  <c r="Q47" i="4"/>
  <c r="P47" i="4"/>
  <c r="O47" i="4"/>
  <c r="M47" i="4"/>
  <c r="L47" i="4"/>
  <c r="J47" i="4"/>
  <c r="H47" i="4"/>
  <c r="A47" i="4"/>
  <c r="T46" i="4"/>
  <c r="P46" i="4"/>
  <c r="O46" i="4"/>
  <c r="M46" i="4"/>
  <c r="L46" i="4"/>
  <c r="H46" i="4"/>
  <c r="G46" i="4"/>
  <c r="A46" i="4"/>
  <c r="V45" i="4"/>
  <c r="U45" i="4"/>
  <c r="T45" i="4"/>
  <c r="S45" i="4"/>
  <c r="R45" i="4"/>
  <c r="P45" i="4"/>
  <c r="O45" i="4"/>
  <c r="L45" i="4"/>
  <c r="H45" i="4"/>
  <c r="A45" i="4"/>
  <c r="R44" i="4"/>
  <c r="Q44" i="4"/>
  <c r="P44" i="4"/>
  <c r="O44" i="4"/>
  <c r="N44" i="4"/>
  <c r="M44" i="4"/>
  <c r="L44" i="4"/>
  <c r="H44" i="4"/>
  <c r="G44" i="4"/>
  <c r="A44" i="4"/>
  <c r="W43" i="4"/>
  <c r="S43" i="4"/>
  <c r="R43" i="4"/>
  <c r="P43" i="4"/>
  <c r="O43" i="4"/>
  <c r="N43" i="4"/>
  <c r="H43" i="4"/>
  <c r="A43" i="4"/>
  <c r="V42" i="4"/>
  <c r="T42" i="4"/>
  <c r="S42" i="4"/>
  <c r="P42" i="4"/>
  <c r="O42" i="4"/>
  <c r="M42" i="4"/>
  <c r="H42" i="4"/>
  <c r="A42" i="4"/>
  <c r="V41" i="4"/>
  <c r="T41" i="4"/>
  <c r="Q41" i="4"/>
  <c r="O41" i="4"/>
  <c r="M41" i="4"/>
  <c r="L41" i="4"/>
  <c r="K41" i="4"/>
  <c r="H41" i="4"/>
  <c r="A41" i="4"/>
  <c r="V40" i="4"/>
  <c r="T40" i="4"/>
  <c r="R40" i="4"/>
  <c r="Q40" i="4"/>
  <c r="P40" i="4"/>
  <c r="O40" i="4"/>
  <c r="M40" i="4"/>
  <c r="K40" i="4"/>
  <c r="H40" i="4"/>
  <c r="A40" i="4"/>
  <c r="W39" i="4"/>
  <c r="T39" i="4"/>
  <c r="S39" i="4"/>
  <c r="R39" i="4"/>
  <c r="P39" i="4"/>
  <c r="N39" i="4"/>
  <c r="M39" i="4"/>
  <c r="L39" i="4"/>
  <c r="K39" i="4"/>
  <c r="A39" i="4"/>
  <c r="W38" i="4"/>
  <c r="U38" i="4"/>
  <c r="T38" i="4"/>
  <c r="R38" i="4"/>
  <c r="O38" i="4"/>
  <c r="M38" i="4"/>
  <c r="L38" i="4"/>
  <c r="K38" i="4"/>
  <c r="H38" i="4"/>
  <c r="F38" i="4"/>
  <c r="A38" i="4"/>
  <c r="T37" i="4"/>
  <c r="P37" i="4"/>
  <c r="O37" i="4"/>
  <c r="M37" i="4"/>
  <c r="L37" i="4"/>
  <c r="K37" i="4"/>
  <c r="J37" i="4"/>
  <c r="H37" i="4"/>
  <c r="G37" i="4"/>
  <c r="A37" i="4"/>
  <c r="W36" i="4"/>
  <c r="T36" i="4"/>
  <c r="Q36" i="4"/>
  <c r="O36" i="4"/>
  <c r="M36" i="4"/>
  <c r="K36" i="4"/>
  <c r="G36" i="4"/>
  <c r="A36" i="4"/>
  <c r="W35" i="4"/>
  <c r="V35" i="4"/>
  <c r="T35" i="4"/>
  <c r="Q35" i="4"/>
  <c r="O35" i="4"/>
  <c r="M35" i="4"/>
  <c r="L35" i="4"/>
  <c r="K35" i="4"/>
  <c r="G35" i="4"/>
  <c r="A35" i="4"/>
  <c r="W34" i="4"/>
  <c r="V34" i="4"/>
  <c r="T34" i="4"/>
  <c r="S34" i="4"/>
  <c r="O34" i="4"/>
  <c r="M34" i="4"/>
  <c r="L34" i="4"/>
  <c r="K34" i="4"/>
  <c r="A34" i="4"/>
  <c r="U33" i="4"/>
  <c r="T33" i="4"/>
  <c r="R33" i="4"/>
  <c r="O33" i="4"/>
  <c r="N33" i="4"/>
  <c r="M33" i="4"/>
  <c r="L33" i="4"/>
  <c r="H33" i="4"/>
  <c r="F33" i="4"/>
  <c r="A33" i="4"/>
  <c r="T32" i="4"/>
  <c r="R32" i="4"/>
  <c r="P32" i="4"/>
  <c r="O32" i="4"/>
  <c r="N32" i="4"/>
  <c r="L32" i="4"/>
  <c r="K32" i="4"/>
  <c r="H32" i="4"/>
  <c r="A32" i="4"/>
  <c r="W31" i="4"/>
  <c r="V31" i="4"/>
  <c r="T31" i="4"/>
  <c r="R31" i="4"/>
  <c r="P31" i="4"/>
  <c r="O31" i="4"/>
  <c r="N31" i="4"/>
  <c r="L31" i="4"/>
  <c r="K31" i="4"/>
  <c r="A31" i="4"/>
  <c r="W30" i="4"/>
  <c r="V30" i="4"/>
  <c r="T30" i="4"/>
  <c r="R30" i="4"/>
  <c r="Q30" i="4"/>
  <c r="P30" i="4"/>
  <c r="O30" i="4"/>
  <c r="N30" i="4"/>
  <c r="M30" i="4"/>
  <c r="L30" i="4"/>
  <c r="A30" i="4"/>
  <c r="V29" i="4"/>
  <c r="T29" i="4"/>
  <c r="R29" i="4"/>
  <c r="Q29" i="4"/>
  <c r="P29" i="4"/>
  <c r="O29" i="4"/>
  <c r="L29" i="4"/>
  <c r="K29" i="4"/>
  <c r="I29" i="4"/>
  <c r="H29" i="4"/>
  <c r="F29" i="4"/>
  <c r="A29" i="4"/>
  <c r="V28" i="4"/>
  <c r="T28" i="4"/>
  <c r="R28" i="4"/>
  <c r="Q28" i="4"/>
  <c r="O28" i="4"/>
  <c r="M28" i="4"/>
  <c r="L28" i="4"/>
  <c r="K28" i="4"/>
  <c r="H28" i="4"/>
  <c r="A28" i="4"/>
  <c r="W27" i="4"/>
  <c r="T27" i="4"/>
  <c r="O27" i="4"/>
  <c r="N27" i="4"/>
  <c r="M27" i="4"/>
  <c r="L27" i="4"/>
  <c r="K27" i="4"/>
  <c r="H27" i="4"/>
  <c r="A27" i="4"/>
  <c r="T26" i="4"/>
  <c r="R26" i="4"/>
  <c r="Q26" i="4"/>
  <c r="P26" i="4"/>
  <c r="O26" i="4"/>
  <c r="N26" i="4"/>
  <c r="M26" i="4"/>
  <c r="L26" i="4"/>
  <c r="K26" i="4"/>
  <c r="G26" i="4"/>
  <c r="A26" i="4"/>
  <c r="W25" i="4"/>
  <c r="V25" i="4"/>
  <c r="S25" i="4"/>
  <c r="Q25" i="4"/>
  <c r="P25" i="4"/>
  <c r="O25" i="4"/>
  <c r="N25" i="4"/>
  <c r="K25" i="4"/>
  <c r="J25" i="4"/>
  <c r="H25" i="4"/>
  <c r="G25" i="4"/>
  <c r="A25" i="4"/>
  <c r="W24" i="4"/>
  <c r="V24" i="4"/>
  <c r="S24" i="4"/>
  <c r="Q24" i="4"/>
  <c r="P24" i="4"/>
  <c r="O24" i="4"/>
  <c r="L24" i="4"/>
  <c r="G24" i="4"/>
  <c r="A24" i="4"/>
  <c r="V23" i="4"/>
  <c r="T23" i="4"/>
  <c r="R23" i="4"/>
  <c r="P23" i="4"/>
  <c r="O23" i="4"/>
  <c r="M23" i="4"/>
  <c r="A23" i="4"/>
  <c r="V22" i="4"/>
  <c r="T22" i="4"/>
  <c r="S22" i="4"/>
  <c r="R22" i="4"/>
  <c r="Q22" i="4"/>
  <c r="O22" i="4"/>
  <c r="M22" i="4"/>
  <c r="K22" i="4"/>
  <c r="A22" i="4"/>
  <c r="U21" i="4"/>
  <c r="T21" i="4"/>
  <c r="R21" i="4"/>
  <c r="O21" i="4"/>
  <c r="N21" i="4"/>
  <c r="H21" i="4"/>
  <c r="F21" i="4"/>
  <c r="A21" i="4"/>
  <c r="W20" i="4"/>
  <c r="U20" i="4"/>
  <c r="T20" i="4"/>
  <c r="R20" i="4"/>
  <c r="Q20" i="4"/>
  <c r="O20" i="4"/>
  <c r="N20" i="4"/>
  <c r="H20" i="4"/>
  <c r="F20" i="4"/>
  <c r="A20" i="4"/>
  <c r="V19" i="4"/>
  <c r="T19" i="4"/>
  <c r="R19" i="4"/>
  <c r="Q19" i="4"/>
  <c r="O19" i="4"/>
  <c r="M19" i="4"/>
  <c r="K19" i="4"/>
  <c r="A19" i="4"/>
  <c r="V18" i="4"/>
  <c r="T18" i="4"/>
  <c r="R18" i="4"/>
  <c r="O18" i="4"/>
  <c r="N18" i="4"/>
  <c r="L18" i="4"/>
  <c r="K18" i="4"/>
  <c r="A18" i="4"/>
  <c r="W17" i="4"/>
  <c r="V17" i="4"/>
  <c r="T17" i="4"/>
  <c r="R17" i="4"/>
  <c r="P17" i="4"/>
  <c r="O17" i="4"/>
  <c r="N17" i="4"/>
  <c r="M17" i="4"/>
  <c r="L17" i="4"/>
  <c r="K17" i="4"/>
  <c r="G17" i="4"/>
  <c r="A17" i="4"/>
  <c r="W16" i="4"/>
  <c r="V16" i="4"/>
  <c r="T16" i="4"/>
  <c r="P16" i="4"/>
  <c r="O16" i="4"/>
  <c r="N16" i="4"/>
  <c r="M16" i="4"/>
  <c r="L16" i="4"/>
  <c r="K16" i="4"/>
  <c r="G16" i="4"/>
  <c r="A16" i="4"/>
  <c r="W15" i="4"/>
  <c r="U15" i="4"/>
  <c r="Q15" i="4"/>
  <c r="P15" i="4"/>
  <c r="O15" i="4"/>
  <c r="L15" i="4"/>
  <c r="J15" i="4"/>
  <c r="H15" i="4"/>
  <c r="A15" i="4"/>
  <c r="W14" i="4"/>
  <c r="V14" i="4"/>
  <c r="R14" i="4"/>
  <c r="P14" i="4"/>
  <c r="O14" i="4"/>
  <c r="L14" i="4"/>
  <c r="K14" i="4"/>
  <c r="H14" i="4"/>
  <c r="A14" i="4"/>
  <c r="W13" i="4"/>
  <c r="V13" i="4"/>
  <c r="T13" i="4"/>
  <c r="R13" i="4"/>
  <c r="Q13" i="4"/>
  <c r="P13" i="4"/>
  <c r="O13" i="4"/>
  <c r="L13" i="4"/>
  <c r="K13" i="4"/>
  <c r="A13" i="4"/>
  <c r="W12" i="4"/>
  <c r="T12" i="4"/>
  <c r="R12" i="4"/>
  <c r="Q12" i="4"/>
  <c r="O12" i="4"/>
  <c r="M12" i="4"/>
  <c r="L12" i="4"/>
  <c r="K12" i="4"/>
  <c r="J12" i="4"/>
  <c r="H12" i="4"/>
  <c r="G12" i="4"/>
  <c r="A12" i="4"/>
  <c r="W11" i="4"/>
  <c r="T11" i="4"/>
  <c r="R11" i="4"/>
  <c r="P11" i="4"/>
  <c r="O11" i="4"/>
  <c r="N11" i="4"/>
  <c r="M11" i="4"/>
  <c r="L11" i="4"/>
  <c r="K11" i="4"/>
  <c r="A11" i="4"/>
  <c r="W10" i="4"/>
  <c r="V10" i="4"/>
  <c r="T10" i="4"/>
  <c r="R10" i="4"/>
  <c r="O10" i="4"/>
  <c r="N10" i="4"/>
  <c r="M10" i="4"/>
  <c r="L10" i="4"/>
  <c r="H10" i="4"/>
  <c r="G10" i="4"/>
  <c r="A10" i="4"/>
  <c r="V9" i="4"/>
  <c r="T9" i="4"/>
  <c r="R9" i="4"/>
  <c r="Q9" i="4"/>
  <c r="O9" i="4"/>
  <c r="N9" i="4"/>
  <c r="L9" i="4"/>
  <c r="H9" i="4"/>
  <c r="G9" i="4"/>
  <c r="A9" i="4"/>
  <c r="W8" i="4"/>
  <c r="V8" i="4"/>
  <c r="T8" i="4"/>
  <c r="R8" i="4"/>
  <c r="P8" i="4"/>
  <c r="O8" i="4"/>
  <c r="N8" i="4"/>
  <c r="L8" i="4"/>
  <c r="H8" i="4"/>
  <c r="G8" i="4"/>
  <c r="A8" i="4"/>
  <c r="W7" i="4"/>
  <c r="V7" i="4"/>
  <c r="T7" i="4"/>
  <c r="R7" i="4"/>
  <c r="Q7" i="4"/>
  <c r="P7" i="4"/>
  <c r="O7" i="4"/>
  <c r="L7" i="4"/>
  <c r="K7" i="4"/>
  <c r="J7" i="4"/>
  <c r="G7" i="4"/>
  <c r="A7" i="4"/>
  <c r="W6" i="4"/>
  <c r="T6" i="4"/>
  <c r="R6" i="4"/>
  <c r="Q6" i="4"/>
  <c r="O6" i="4"/>
  <c r="N6" i="4"/>
  <c r="M6" i="4"/>
  <c r="K6" i="4"/>
  <c r="H6" i="4"/>
  <c r="A6" i="4"/>
  <c r="W5" i="4"/>
  <c r="V5" i="4"/>
  <c r="T5" i="4"/>
  <c r="R5" i="4"/>
  <c r="P5" i="4"/>
  <c r="M5" i="4"/>
  <c r="L5" i="4"/>
  <c r="H5" i="4"/>
  <c r="G5" i="4"/>
  <c r="A5" i="4"/>
  <c r="W4" i="4"/>
  <c r="T4" i="4"/>
  <c r="R4" i="4"/>
  <c r="O4" i="4"/>
  <c r="N4" i="4"/>
  <c r="L4" i="4"/>
  <c r="K4" i="4"/>
  <c r="J4" i="4"/>
  <c r="H4" i="4"/>
  <c r="A4" i="4"/>
  <c r="V3" i="4"/>
  <c r="T3" i="4"/>
  <c r="R3" i="4"/>
  <c r="Q3" i="4"/>
  <c r="O3" i="4"/>
  <c r="N3" i="4"/>
  <c r="H3" i="4"/>
  <c r="A3" i="4"/>
  <c r="W2" i="4"/>
  <c r="V2" i="4"/>
  <c r="T2" i="4"/>
  <c r="S2" i="4"/>
  <c r="Q2" i="4"/>
  <c r="P2" i="4"/>
  <c r="M2" i="4"/>
  <c r="L2" i="4"/>
  <c r="J2" i="4"/>
  <c r="H2" i="4"/>
  <c r="G2" i="4"/>
  <c r="A2" i="4"/>
  <c r="B267" i="4"/>
  <c r="O267" i="4" s="1"/>
  <c r="B266" i="4"/>
  <c r="G266" i="4" s="1"/>
  <c r="C265" i="3"/>
  <c r="B265" i="4" s="1"/>
  <c r="W265" i="4" s="1"/>
  <c r="C264" i="3"/>
  <c r="B264" i="4" s="1"/>
  <c r="I264" i="4" s="1"/>
  <c r="C263" i="3"/>
  <c r="B263" i="4" s="1"/>
  <c r="M263" i="4" s="1"/>
  <c r="C262" i="3"/>
  <c r="B262" i="4" s="1"/>
  <c r="S262" i="4" s="1"/>
  <c r="C261" i="3"/>
  <c r="B261" i="4" s="1"/>
  <c r="T261" i="4" s="1"/>
  <c r="C260" i="3"/>
  <c r="B260" i="4" s="1"/>
  <c r="J260" i="4" s="1"/>
  <c r="C259" i="3"/>
  <c r="B259" i="4" s="1"/>
  <c r="S259" i="4" s="1"/>
  <c r="C258" i="3"/>
  <c r="B258" i="4" s="1"/>
  <c r="U258" i="4" s="1"/>
  <c r="C257" i="3"/>
  <c r="B257" i="4" s="1"/>
  <c r="O257" i="4" s="1"/>
  <c r="C256" i="3"/>
  <c r="B256" i="4" s="1"/>
  <c r="W256" i="4" s="1"/>
  <c r="C255" i="3"/>
  <c r="B255" i="4" s="1"/>
  <c r="H255" i="4" s="1"/>
  <c r="C254" i="3"/>
  <c r="B254" i="4" s="1"/>
  <c r="R254" i="4" s="1"/>
  <c r="C253" i="3"/>
  <c r="B253" i="4" s="1"/>
  <c r="S253" i="4" s="1"/>
  <c r="C252" i="3"/>
  <c r="B252" i="4" s="1"/>
  <c r="P252" i="4" s="1"/>
  <c r="C251" i="3"/>
  <c r="B251" i="4" s="1"/>
  <c r="S251" i="4" s="1"/>
  <c r="C250" i="3"/>
  <c r="B250" i="4" s="1"/>
  <c r="M250" i="4" s="1"/>
  <c r="C249" i="3"/>
  <c r="B249" i="4" s="1"/>
  <c r="Q249" i="4" s="1"/>
  <c r="C248" i="3"/>
  <c r="B248" i="4" s="1"/>
  <c r="R248" i="4" s="1"/>
  <c r="C247" i="3"/>
  <c r="B247" i="4" s="1"/>
  <c r="J247" i="4" s="1"/>
  <c r="C246" i="3"/>
  <c r="B246" i="4" s="1"/>
  <c r="J246" i="4" s="1"/>
  <c r="C245" i="3"/>
  <c r="B245" i="4" s="1"/>
  <c r="K245" i="4" s="1"/>
  <c r="C244" i="3"/>
  <c r="B244" i="4" s="1"/>
  <c r="V244" i="4" s="1"/>
  <c r="C243" i="3"/>
  <c r="B243" i="4" s="1"/>
  <c r="L243" i="4" s="1"/>
  <c r="C242" i="3"/>
  <c r="B242" i="4" s="1"/>
  <c r="L242" i="4" s="1"/>
  <c r="C241" i="3"/>
  <c r="B241" i="4" s="1"/>
  <c r="H241" i="4" s="1"/>
  <c r="C240" i="3"/>
  <c r="B240" i="4" s="1"/>
  <c r="S240" i="4" s="1"/>
  <c r="C239" i="3"/>
  <c r="B239" i="4" s="1"/>
  <c r="L239" i="4" s="1"/>
  <c r="C238" i="3"/>
  <c r="B238" i="4" s="1"/>
  <c r="U238" i="4" s="1"/>
  <c r="C237" i="3"/>
  <c r="B237" i="4" s="1"/>
  <c r="S237" i="4" s="1"/>
  <c r="C236" i="3"/>
  <c r="B236" i="4" s="1"/>
  <c r="H236" i="4" s="1"/>
  <c r="C235" i="3"/>
  <c r="B235" i="4" s="1"/>
  <c r="J235" i="4" s="1"/>
  <c r="C234" i="3"/>
  <c r="B234" i="4" s="1"/>
  <c r="N234" i="4" s="1"/>
  <c r="C233" i="3"/>
  <c r="B233" i="4" s="1"/>
  <c r="I233" i="4" s="1"/>
  <c r="C232" i="3"/>
  <c r="B232" i="4" s="1"/>
  <c r="J232" i="4" s="1"/>
  <c r="C231" i="3"/>
  <c r="B231" i="4" s="1"/>
  <c r="O231" i="4" s="1"/>
  <c r="C230" i="3"/>
  <c r="B230" i="4" s="1"/>
  <c r="L230" i="4" s="1"/>
  <c r="C229" i="3"/>
  <c r="B229" i="4" s="1"/>
  <c r="S229" i="4" s="1"/>
  <c r="C228" i="3"/>
  <c r="B228" i="4" s="1"/>
  <c r="H228" i="4" s="1"/>
  <c r="C227" i="3"/>
  <c r="B227" i="4" s="1"/>
  <c r="J227" i="4" s="1"/>
  <c r="C226" i="3"/>
  <c r="B226" i="4" s="1"/>
  <c r="W226" i="4" s="1"/>
  <c r="C225" i="3"/>
  <c r="B225" i="4" s="1"/>
  <c r="P225" i="4" s="1"/>
  <c r="C224" i="3"/>
  <c r="B224" i="4" s="1"/>
  <c r="V224" i="4" s="1"/>
  <c r="C223" i="3"/>
  <c r="B223" i="4" s="1"/>
  <c r="L223" i="4" s="1"/>
  <c r="C222" i="3"/>
  <c r="B222" i="4" s="1"/>
  <c r="M222" i="4" s="1"/>
  <c r="C221" i="3"/>
  <c r="B221" i="4" s="1"/>
  <c r="N221" i="4" s="1"/>
  <c r="C220" i="3"/>
  <c r="B220" i="4" s="1"/>
  <c r="P220" i="4" s="1"/>
  <c r="C219" i="3"/>
  <c r="B219" i="4" s="1"/>
  <c r="J219" i="4" s="1"/>
  <c r="C218" i="3"/>
  <c r="B218" i="4" s="1"/>
  <c r="S218" i="4" s="1"/>
  <c r="C217" i="3"/>
  <c r="B217" i="4" s="1"/>
  <c r="S217" i="4" s="1"/>
  <c r="C216" i="3"/>
  <c r="B216" i="4" s="1"/>
  <c r="F216" i="4" s="1"/>
  <c r="C215" i="3"/>
  <c r="B215" i="4" s="1"/>
  <c r="J215" i="4" s="1"/>
  <c r="C214" i="3"/>
  <c r="B214" i="4" s="1"/>
  <c r="L214" i="4" s="1"/>
  <c r="C213" i="3"/>
  <c r="B213" i="4" s="1"/>
  <c r="M213" i="4" s="1"/>
  <c r="C212" i="3"/>
  <c r="B212" i="4" s="1"/>
  <c r="H212" i="4" s="1"/>
  <c r="C211" i="3"/>
  <c r="B211" i="4" s="1"/>
  <c r="C210" i="3"/>
  <c r="B210" i="4" s="1"/>
  <c r="N210" i="4" s="1"/>
  <c r="C209" i="3"/>
  <c r="B209" i="4" s="1"/>
  <c r="S209" i="4" s="1"/>
  <c r="C208" i="3"/>
  <c r="B208" i="4" s="1"/>
  <c r="S208" i="4" s="1"/>
  <c r="C207" i="3"/>
  <c r="B207" i="4" s="1"/>
  <c r="F207" i="4" s="1"/>
  <c r="C206" i="3"/>
  <c r="B206" i="4" s="1"/>
  <c r="F206" i="4" s="1"/>
  <c r="C205" i="3"/>
  <c r="B205" i="4" s="1"/>
  <c r="J205" i="4" s="1"/>
  <c r="C204" i="3"/>
  <c r="B204" i="4" s="1"/>
  <c r="L204" i="4" s="1"/>
  <c r="C203" i="3"/>
  <c r="B203" i="4" s="1"/>
  <c r="J203" i="4" s="1"/>
  <c r="C202" i="3"/>
  <c r="B202" i="4" s="1"/>
  <c r="P202" i="4" s="1"/>
  <c r="C201" i="3"/>
  <c r="B201" i="4" s="1"/>
  <c r="L201" i="4" s="1"/>
  <c r="C200" i="3"/>
  <c r="B200" i="4" s="1"/>
  <c r="S200" i="4" s="1"/>
  <c r="C199" i="3"/>
  <c r="B199" i="4" s="1"/>
  <c r="V199" i="4" s="1"/>
  <c r="C198" i="3"/>
  <c r="B198" i="4" s="1"/>
  <c r="G198" i="4" s="1"/>
  <c r="C197" i="3"/>
  <c r="B197" i="4" s="1"/>
  <c r="U197" i="4" s="1"/>
  <c r="C196" i="3"/>
  <c r="B196" i="4" s="1"/>
  <c r="L196" i="4" s="1"/>
  <c r="C195" i="3"/>
  <c r="B195" i="4" s="1"/>
  <c r="J195" i="4" s="1"/>
  <c r="C194" i="3"/>
  <c r="B194" i="4" s="1"/>
  <c r="J194" i="4" s="1"/>
  <c r="C193" i="3"/>
  <c r="B193" i="4" s="1"/>
  <c r="S193" i="4" s="1"/>
  <c r="C192" i="3"/>
  <c r="B192" i="4" s="1"/>
  <c r="Q192" i="4" s="1"/>
  <c r="C191" i="3"/>
  <c r="B191" i="4" s="1"/>
  <c r="T191" i="4" s="1"/>
  <c r="C190" i="3"/>
  <c r="B190" i="4" s="1"/>
  <c r="V190" i="4" s="1"/>
  <c r="C189" i="3"/>
  <c r="B189" i="4" s="1"/>
  <c r="G189" i="4" s="1"/>
  <c r="C188" i="3"/>
  <c r="B188" i="4" s="1"/>
  <c r="M188" i="4" s="1"/>
  <c r="C187" i="3"/>
  <c r="B187" i="4" s="1"/>
  <c r="L187" i="4" s="1"/>
  <c r="C186" i="3"/>
  <c r="B186" i="4" s="1"/>
  <c r="J186" i="4" s="1"/>
  <c r="C185" i="3"/>
  <c r="B185" i="4" s="1"/>
  <c r="J185" i="4" s="1"/>
  <c r="C184" i="3"/>
  <c r="B184" i="4" s="1"/>
  <c r="C184" i="4" s="1"/>
  <c r="C183" i="3"/>
  <c r="B183" i="4" s="1"/>
  <c r="N183" i="4" s="1"/>
  <c r="C182" i="3"/>
  <c r="B182" i="4" s="1"/>
  <c r="R182" i="4" s="1"/>
  <c r="C181" i="3"/>
  <c r="B181" i="4" s="1"/>
  <c r="S181" i="4" s="1"/>
  <c r="C180" i="3"/>
  <c r="B180" i="4" s="1"/>
  <c r="N180" i="4" s="1"/>
  <c r="C179" i="3"/>
  <c r="B179" i="4" s="1"/>
  <c r="V179" i="4" s="1"/>
  <c r="C178" i="3"/>
  <c r="B178" i="4" s="1"/>
  <c r="G178" i="4" s="1"/>
  <c r="C177" i="3"/>
  <c r="B177" i="4" s="1"/>
  <c r="G177" i="4" s="1"/>
  <c r="C176" i="3"/>
  <c r="B176" i="4" s="1"/>
  <c r="N176" i="4" s="1"/>
  <c r="C175" i="3"/>
  <c r="B175" i="4" s="1"/>
  <c r="F175" i="4" s="1"/>
  <c r="C174" i="3"/>
  <c r="B174" i="4" s="1"/>
  <c r="J174" i="4" s="1"/>
  <c r="C173" i="3"/>
  <c r="B173" i="4" s="1"/>
  <c r="K173" i="4" s="1"/>
  <c r="C172" i="3"/>
  <c r="B172" i="4" s="1"/>
  <c r="S172" i="4" s="1"/>
  <c r="C171" i="3"/>
  <c r="B171" i="4" s="1"/>
  <c r="N171" i="4" s="1"/>
  <c r="C170" i="3"/>
  <c r="B170" i="4" s="1"/>
  <c r="G170" i="4" s="1"/>
  <c r="C169" i="3"/>
  <c r="B169" i="4" s="1"/>
  <c r="P169" i="4" s="1"/>
  <c r="C168" i="3"/>
  <c r="B168" i="4" s="1"/>
  <c r="T168" i="4" s="1"/>
  <c r="C167" i="3"/>
  <c r="B167" i="4" s="1"/>
  <c r="F167" i="4" s="1"/>
  <c r="C166" i="3"/>
  <c r="B166" i="4" s="1"/>
  <c r="N166" i="4" s="1"/>
  <c r="C165" i="3"/>
  <c r="B165" i="4" s="1"/>
  <c r="Q165" i="4" s="1"/>
  <c r="C164" i="3"/>
  <c r="B164" i="4" s="1"/>
  <c r="U164" i="4" s="1"/>
  <c r="C163" i="3"/>
  <c r="B163" i="4" s="1"/>
  <c r="G163" i="4" s="1"/>
  <c r="C162" i="3"/>
  <c r="B162" i="4" s="1"/>
  <c r="R162" i="4" s="1"/>
  <c r="C161" i="3"/>
  <c r="B161" i="4" s="1"/>
  <c r="L161" i="4" s="1"/>
  <c r="C160" i="3"/>
  <c r="B160" i="4" s="1"/>
  <c r="F160" i="4" s="1"/>
  <c r="C159" i="3"/>
  <c r="B159" i="4" s="1"/>
  <c r="L159" i="4" s="1"/>
  <c r="C158" i="3"/>
  <c r="B158" i="4" s="1"/>
  <c r="H158" i="4" s="1"/>
  <c r="C157" i="3"/>
  <c r="B157" i="4" s="1"/>
  <c r="J157" i="4" s="1"/>
  <c r="C156" i="3"/>
  <c r="B156" i="4" s="1"/>
  <c r="F156" i="4" s="1"/>
  <c r="C155" i="3"/>
  <c r="B155" i="4" s="1"/>
  <c r="R155" i="4" s="1"/>
  <c r="C154" i="3"/>
  <c r="B154" i="4" s="1"/>
  <c r="I154" i="4" s="1"/>
  <c r="C153" i="3"/>
  <c r="B153" i="4" s="1"/>
  <c r="N153" i="4" s="1"/>
  <c r="C152" i="3"/>
  <c r="B152" i="4" s="1"/>
  <c r="N152" i="4" s="1"/>
  <c r="C151" i="3"/>
  <c r="B151" i="4" s="1"/>
  <c r="N151" i="4" s="1"/>
  <c r="C150" i="3"/>
  <c r="B150" i="4" s="1"/>
  <c r="U150" i="4" s="1"/>
  <c r="C149" i="3"/>
  <c r="B149" i="4" s="1"/>
  <c r="T149" i="4" s="1"/>
  <c r="C148" i="3"/>
  <c r="B148" i="4" s="1"/>
  <c r="F148" i="4" s="1"/>
  <c r="C147" i="3"/>
  <c r="B147" i="4" s="1"/>
  <c r="S147" i="4" s="1"/>
  <c r="C146" i="3"/>
  <c r="B146" i="4" s="1"/>
  <c r="S146" i="4" s="1"/>
  <c r="C145" i="3"/>
  <c r="B145" i="4" s="1"/>
  <c r="J145" i="4" s="1"/>
  <c r="C144" i="3"/>
  <c r="B144" i="4" s="1"/>
  <c r="L144" i="4" s="1"/>
  <c r="C143" i="3"/>
  <c r="B143" i="4" s="1"/>
  <c r="S143" i="4" s="1"/>
  <c r="C142" i="3"/>
  <c r="B142" i="4" s="1"/>
  <c r="T142" i="4" s="1"/>
  <c r="C141" i="3"/>
  <c r="B141" i="4" s="1"/>
  <c r="F141" i="4" s="1"/>
  <c r="C140" i="3"/>
  <c r="B140" i="4" s="1"/>
  <c r="G140" i="4" s="1"/>
  <c r="C139" i="3"/>
  <c r="B139" i="4" s="1"/>
  <c r="I139" i="4" s="1"/>
  <c r="C138" i="3"/>
  <c r="B138" i="4" s="1"/>
  <c r="I138" i="4" s="1"/>
  <c r="C137" i="3"/>
  <c r="B137" i="4" s="1"/>
  <c r="F137" i="4" s="1"/>
  <c r="C136" i="3"/>
  <c r="B136" i="4" s="1"/>
  <c r="R136" i="4" s="1"/>
  <c r="C135" i="3"/>
  <c r="B135" i="4" s="1"/>
  <c r="J135" i="4" s="1"/>
  <c r="C134" i="3"/>
  <c r="B134" i="4" s="1"/>
  <c r="P134" i="4" s="1"/>
  <c r="C133" i="3"/>
  <c r="B133" i="4" s="1"/>
  <c r="H133" i="4" s="1"/>
  <c r="C132" i="3"/>
  <c r="B132" i="4" s="1"/>
  <c r="F132" i="4" s="1"/>
  <c r="C131" i="3"/>
  <c r="B131" i="4" s="1"/>
  <c r="J131" i="4" s="1"/>
  <c r="C130" i="3"/>
  <c r="B130" i="4" s="1"/>
  <c r="F130" i="4" s="1"/>
  <c r="C129" i="3"/>
  <c r="B129" i="4" s="1"/>
  <c r="I129" i="4" s="1"/>
  <c r="C128" i="3"/>
  <c r="B128" i="4" s="1"/>
  <c r="R128" i="4" s="1"/>
  <c r="C127" i="3"/>
  <c r="B127" i="4" s="1"/>
  <c r="P127" i="4" s="1"/>
  <c r="C126" i="3"/>
  <c r="B126" i="4" s="1"/>
  <c r="W126" i="4" s="1"/>
  <c r="C125" i="3"/>
  <c r="B125" i="4" s="1"/>
  <c r="D125" i="4" s="1"/>
  <c r="C124" i="3"/>
  <c r="B124" i="4" s="1"/>
  <c r="C124" i="4" s="1"/>
  <c r="C123" i="3"/>
  <c r="B123" i="4" s="1"/>
  <c r="J123" i="4" s="1"/>
  <c r="C122" i="3"/>
  <c r="B122" i="4" s="1"/>
  <c r="N122" i="4" s="1"/>
  <c r="C121" i="3"/>
  <c r="B121" i="4" s="1"/>
  <c r="I121" i="4" s="1"/>
  <c r="C120" i="3"/>
  <c r="B120" i="4" s="1"/>
  <c r="R120" i="4" s="1"/>
  <c r="C119" i="3"/>
  <c r="B119" i="4" s="1"/>
  <c r="W119" i="4" s="1"/>
  <c r="C118" i="3"/>
  <c r="B118" i="4" s="1"/>
  <c r="S118" i="4" s="1"/>
  <c r="C117" i="3"/>
  <c r="B117" i="4" s="1"/>
  <c r="I117" i="4" s="1"/>
  <c r="C116" i="3"/>
  <c r="B116" i="4" s="1"/>
  <c r="J116" i="4" s="1"/>
  <c r="C115" i="3"/>
  <c r="B115" i="4" s="1"/>
  <c r="N115" i="4" s="1"/>
  <c r="C114" i="3"/>
  <c r="B114" i="4" s="1"/>
  <c r="S114" i="4" s="1"/>
  <c r="C113" i="3"/>
  <c r="B113" i="4" s="1"/>
  <c r="E113" i="4" s="1"/>
  <c r="C112" i="3"/>
  <c r="B112" i="4" s="1"/>
  <c r="E112" i="4" s="1"/>
  <c r="C111" i="3"/>
  <c r="B111" i="4" s="1"/>
  <c r="P111" i="4" s="1"/>
  <c r="C110" i="3"/>
  <c r="B110" i="4" s="1"/>
  <c r="J110" i="4" s="1"/>
  <c r="C109" i="3"/>
  <c r="B109" i="4" s="1"/>
  <c r="N109" i="4" s="1"/>
  <c r="C108" i="3"/>
  <c r="B108" i="4" s="1"/>
  <c r="N108" i="4" s="1"/>
  <c r="C107" i="3"/>
  <c r="B107" i="4" s="1"/>
  <c r="S107" i="4" s="1"/>
  <c r="C106" i="3"/>
  <c r="B106" i="4" s="1"/>
  <c r="H106" i="4" s="1"/>
  <c r="C105" i="3"/>
  <c r="B105" i="4" s="1"/>
  <c r="U105" i="4" s="1"/>
  <c r="C104" i="3"/>
  <c r="B104" i="4" s="1"/>
  <c r="D104" i="4" s="1"/>
  <c r="C103" i="3"/>
  <c r="B103" i="4" s="1"/>
  <c r="J103" i="4" s="1"/>
  <c r="C102" i="3"/>
  <c r="B102" i="4" s="1"/>
  <c r="J102" i="4" s="1"/>
  <c r="C101" i="3"/>
  <c r="B101" i="4" s="1"/>
  <c r="C101" i="4" s="1"/>
  <c r="C100" i="3"/>
  <c r="B100" i="4" s="1"/>
  <c r="D100" i="4" s="1"/>
  <c r="C99" i="3"/>
  <c r="B99" i="4" s="1"/>
  <c r="I99" i="4" s="1"/>
  <c r="C98" i="3"/>
  <c r="B98" i="4" s="1"/>
  <c r="N98" i="4" s="1"/>
  <c r="C97" i="3"/>
  <c r="B97" i="4" s="1"/>
  <c r="G97" i="4" s="1"/>
  <c r="C96" i="3"/>
  <c r="B96" i="4" s="1"/>
  <c r="J96" i="4" s="1"/>
  <c r="C95" i="3"/>
  <c r="B95" i="4" s="1"/>
  <c r="G95" i="4" s="1"/>
  <c r="C94" i="3"/>
  <c r="B94" i="4" s="1"/>
  <c r="L94" i="4" s="1"/>
  <c r="C93" i="3"/>
  <c r="B93" i="4" s="1"/>
  <c r="U93" i="4" s="1"/>
  <c r="C92" i="3"/>
  <c r="B92" i="4" s="1"/>
  <c r="S92" i="4" s="1"/>
  <c r="C91" i="3"/>
  <c r="B91" i="4" s="1"/>
  <c r="S91" i="4" s="1"/>
  <c r="C90" i="3"/>
  <c r="B90" i="4" s="1"/>
  <c r="R90" i="4" s="1"/>
  <c r="C89" i="3"/>
  <c r="B89" i="4" s="1"/>
  <c r="D89" i="4" s="1"/>
  <c r="C88" i="3"/>
  <c r="B88" i="4" s="1"/>
  <c r="E88" i="4" s="1"/>
  <c r="C87" i="3"/>
  <c r="B87" i="4" s="1"/>
  <c r="I87" i="4" s="1"/>
  <c r="C86" i="3"/>
  <c r="B86" i="4" s="1"/>
  <c r="N86" i="4" s="1"/>
  <c r="C85" i="3"/>
  <c r="B85" i="4" s="1"/>
  <c r="F85" i="4" s="1"/>
  <c r="C84" i="3"/>
  <c r="B84" i="4" s="1"/>
  <c r="I84" i="4" s="1"/>
  <c r="C83" i="3"/>
  <c r="B83" i="4" s="1"/>
  <c r="C83" i="4" s="1"/>
  <c r="C82" i="3"/>
  <c r="B82" i="4" s="1"/>
  <c r="G82" i="4" s="1"/>
  <c r="C81" i="3"/>
  <c r="B81" i="4" s="1"/>
  <c r="K81" i="4" s="1"/>
  <c r="C80" i="3"/>
  <c r="B80" i="4" s="1"/>
  <c r="W80" i="4" s="1"/>
  <c r="C79" i="3"/>
  <c r="B79" i="4" s="1"/>
  <c r="P79" i="4" s="1"/>
  <c r="C78" i="3"/>
  <c r="B78" i="4" s="1"/>
  <c r="D78" i="4" s="1"/>
  <c r="C77" i="3"/>
  <c r="B77" i="4" s="1"/>
  <c r="D77" i="4" s="1"/>
  <c r="C76" i="3"/>
  <c r="B76" i="4" s="1"/>
  <c r="F76" i="4" s="1"/>
  <c r="C75" i="3"/>
  <c r="B75" i="4" s="1"/>
  <c r="F75" i="4" s="1"/>
  <c r="C74" i="3"/>
  <c r="B74" i="4" s="1"/>
  <c r="D74" i="4" s="1"/>
  <c r="C73" i="3"/>
  <c r="B73" i="4" s="1"/>
  <c r="U73" i="4" s="1"/>
  <c r="C72" i="3"/>
  <c r="B72" i="4" s="1"/>
  <c r="R72" i="4" s="1"/>
  <c r="C71" i="3"/>
  <c r="B71" i="4" s="1"/>
  <c r="N71" i="4" s="1"/>
  <c r="C70" i="3"/>
  <c r="B70" i="4" s="1"/>
  <c r="V70" i="4" s="1"/>
  <c r="C69" i="3"/>
  <c r="B69" i="4" s="1"/>
  <c r="S69" i="4" s="1"/>
  <c r="C68" i="3"/>
  <c r="B68" i="4" s="1"/>
  <c r="J68" i="4" s="1"/>
  <c r="C67" i="3"/>
  <c r="B67" i="4" s="1"/>
  <c r="F67" i="4" s="1"/>
  <c r="C66" i="3"/>
  <c r="B66" i="4" s="1"/>
  <c r="I66" i="4" s="1"/>
  <c r="C65" i="3"/>
  <c r="B65" i="4" s="1"/>
  <c r="N65" i="4" s="1"/>
  <c r="C64" i="3"/>
  <c r="B64" i="4" s="1"/>
  <c r="H64" i="4" s="1"/>
  <c r="C63" i="3"/>
  <c r="B63" i="4" s="1"/>
  <c r="I63" i="4" s="1"/>
  <c r="C62" i="3"/>
  <c r="B62" i="4" s="1"/>
  <c r="I62" i="4" s="1"/>
  <c r="C61" i="3"/>
  <c r="B61" i="4" s="1"/>
  <c r="P61" i="4" s="1"/>
  <c r="C60" i="3"/>
  <c r="B60" i="4" s="1"/>
  <c r="I60" i="4" s="1"/>
  <c r="C59" i="3"/>
  <c r="B59" i="4" s="1"/>
  <c r="I59" i="4" s="1"/>
  <c r="C58" i="3"/>
  <c r="B58" i="4" s="1"/>
  <c r="L58" i="4" s="1"/>
  <c r="C57" i="3"/>
  <c r="B57" i="4" s="1"/>
  <c r="S57" i="4" s="1"/>
  <c r="C56" i="3"/>
  <c r="B56" i="4" s="1"/>
  <c r="Q56" i="4" s="1"/>
  <c r="C55" i="3"/>
  <c r="B55" i="4" s="1"/>
  <c r="I55" i="4" s="1"/>
  <c r="C54" i="3"/>
  <c r="B54" i="4" s="1"/>
  <c r="U54" i="4" s="1"/>
  <c r="C53" i="3"/>
  <c r="B53" i="4" s="1"/>
  <c r="H53" i="4" s="1"/>
  <c r="C52" i="3"/>
  <c r="B52" i="4" s="1"/>
  <c r="J52" i="4" s="1"/>
  <c r="C51" i="3"/>
  <c r="B51" i="4" s="1"/>
  <c r="I51" i="4" s="1"/>
  <c r="C50" i="3"/>
  <c r="B50" i="4" s="1"/>
  <c r="I50" i="4" s="1"/>
  <c r="C49" i="3"/>
  <c r="B49" i="4" s="1"/>
  <c r="K49" i="4" s="1"/>
  <c r="C48" i="3"/>
  <c r="B48" i="4" s="1"/>
  <c r="M48" i="4" s="1"/>
  <c r="C47" i="3"/>
  <c r="B47" i="4" s="1"/>
  <c r="I47" i="4" s="1"/>
  <c r="C46" i="3"/>
  <c r="B46" i="4" s="1"/>
  <c r="I46" i="4" s="1"/>
  <c r="C45" i="3"/>
  <c r="B45" i="4" s="1"/>
  <c r="I45" i="4" s="1"/>
  <c r="C44" i="3"/>
  <c r="B44" i="4" s="1"/>
  <c r="I44" i="4" s="1"/>
  <c r="C43" i="3"/>
  <c r="B43" i="4" s="1"/>
  <c r="Q43" i="4" s="1"/>
  <c r="C42" i="3"/>
  <c r="B42" i="4" s="1"/>
  <c r="U42" i="4" s="1"/>
  <c r="C41" i="3"/>
  <c r="B41" i="4" s="1"/>
  <c r="I41" i="4" s="1"/>
  <c r="C40" i="3"/>
  <c r="B40" i="4" s="1"/>
  <c r="L40" i="4" s="1"/>
  <c r="C39" i="3"/>
  <c r="B39" i="4" s="1"/>
  <c r="I39" i="4" s="1"/>
  <c r="C38" i="3"/>
  <c r="B38" i="4" s="1"/>
  <c r="P38" i="4" s="1"/>
  <c r="C37" i="3"/>
  <c r="B37" i="4" s="1"/>
  <c r="U37" i="4" s="1"/>
  <c r="C36" i="3"/>
  <c r="B36" i="4" s="1"/>
  <c r="H36" i="4" s="1"/>
  <c r="C35" i="3"/>
  <c r="B35" i="4" s="1"/>
  <c r="S35" i="4" s="1"/>
  <c r="C34" i="3"/>
  <c r="B34" i="4" s="1"/>
  <c r="I34" i="4" s="1"/>
  <c r="C33" i="3"/>
  <c r="B33" i="4" s="1"/>
  <c r="P33" i="4" s="1"/>
  <c r="C32" i="3"/>
  <c r="B32" i="4" s="1"/>
  <c r="I32" i="4" s="1"/>
  <c r="C31" i="3"/>
  <c r="B31" i="4" s="1"/>
  <c r="I31" i="4" s="1"/>
  <c r="C30" i="3"/>
  <c r="B30" i="4" s="1"/>
  <c r="H30" i="4" s="1"/>
  <c r="C29" i="3"/>
  <c r="B29" i="4" s="1"/>
  <c r="E29" i="4" s="1"/>
  <c r="C28" i="3"/>
  <c r="B28" i="4" s="1"/>
  <c r="U28" i="4" s="1"/>
  <c r="C27" i="3"/>
  <c r="B27" i="4" s="1"/>
  <c r="U27" i="4" s="1"/>
  <c r="C26" i="3"/>
  <c r="B26" i="4" s="1"/>
  <c r="U26" i="4" s="1"/>
  <c r="C25" i="3"/>
  <c r="B25" i="4" s="1"/>
  <c r="U25" i="4" s="1"/>
  <c r="C24" i="3"/>
  <c r="B24" i="4" s="1"/>
  <c r="I24" i="4" s="1"/>
  <c r="C23" i="3"/>
  <c r="B23" i="4" s="1"/>
  <c r="Q23" i="4" s="1"/>
  <c r="C22" i="3"/>
  <c r="B22" i="4" s="1"/>
  <c r="N22" i="4" s="1"/>
  <c r="C21" i="3"/>
  <c r="B21" i="4" s="1"/>
  <c r="M21" i="4" s="1"/>
  <c r="C20" i="3"/>
  <c r="B20" i="4" s="1"/>
  <c r="L20" i="4" s="1"/>
  <c r="C19" i="3"/>
  <c r="B19" i="4" s="1"/>
  <c r="E19" i="4" s="1"/>
  <c r="C18" i="3"/>
  <c r="B18" i="4" s="1"/>
  <c r="E18" i="4" s="1"/>
  <c r="C17" i="3"/>
  <c r="B17" i="4" s="1"/>
  <c r="I17" i="4" s="1"/>
  <c r="C16" i="3"/>
  <c r="B16" i="4" s="1"/>
  <c r="I16" i="4" s="1"/>
  <c r="C15" i="3"/>
  <c r="B15" i="4" s="1"/>
  <c r="N15" i="4" s="1"/>
  <c r="C14" i="3"/>
  <c r="B14" i="4" s="1"/>
  <c r="I14" i="4" s="1"/>
  <c r="C13" i="3"/>
  <c r="B13" i="4" s="1"/>
  <c r="S13" i="4" s="1"/>
  <c r="C12" i="3"/>
  <c r="B12" i="4" s="1"/>
  <c r="I12" i="4" s="1"/>
  <c r="C11" i="3"/>
  <c r="B11" i="4" s="1"/>
  <c r="H11" i="4" s="1"/>
  <c r="C10" i="3"/>
  <c r="B10" i="4" s="1"/>
  <c r="K10" i="4" s="1"/>
  <c r="C9" i="3"/>
  <c r="B9" i="4" s="1"/>
  <c r="I9" i="4" s="1"/>
  <c r="C8" i="3"/>
  <c r="B8" i="4" s="1"/>
  <c r="U8" i="4" s="1"/>
  <c r="C7" i="3"/>
  <c r="B7" i="4" s="1"/>
  <c r="S7" i="4" s="1"/>
  <c r="C6" i="3"/>
  <c r="B6" i="4" s="1"/>
  <c r="C6" i="4" s="1"/>
  <c r="C5" i="3"/>
  <c r="B5" i="4" s="1"/>
  <c r="I5" i="4" s="1"/>
  <c r="C4" i="3"/>
  <c r="B4" i="4" s="1"/>
  <c r="E4" i="4" s="1"/>
  <c r="C3" i="3"/>
  <c r="B3" i="4" s="1"/>
  <c r="E3" i="4" s="1"/>
  <c r="C2" i="3"/>
  <c r="B2" i="4" s="1"/>
  <c r="E2" i="4" s="1"/>
  <c r="S248" i="4" l="1"/>
  <c r="V248" i="4"/>
  <c r="S261" i="4"/>
  <c r="J212" i="4"/>
  <c r="H250" i="4"/>
  <c r="N189" i="4"/>
  <c r="K205" i="4"/>
  <c r="H249" i="4"/>
  <c r="N253" i="4"/>
  <c r="H181" i="4"/>
  <c r="P227" i="4"/>
  <c r="P189" i="4"/>
  <c r="N225" i="4"/>
  <c r="G260" i="4"/>
  <c r="S177" i="4"/>
  <c r="L180" i="4"/>
  <c r="S182" i="4"/>
  <c r="M199" i="4"/>
  <c r="K235" i="4"/>
  <c r="P260" i="4"/>
  <c r="R216" i="4"/>
  <c r="I236" i="4"/>
  <c r="R215" i="4"/>
  <c r="T265" i="4"/>
  <c r="W202" i="4"/>
  <c r="O264" i="4"/>
  <c r="R190" i="4"/>
  <c r="U206" i="4"/>
  <c r="Q214" i="4"/>
  <c r="N204" i="4"/>
  <c r="W215" i="4"/>
  <c r="K224" i="4"/>
  <c r="V263" i="4"/>
  <c r="G214" i="4"/>
  <c r="M191" i="4"/>
  <c r="K213" i="4"/>
  <c r="G236" i="4"/>
  <c r="N177" i="4"/>
  <c r="J180" i="4"/>
  <c r="R206" i="4"/>
  <c r="G239" i="4"/>
  <c r="K192" i="4"/>
  <c r="W221" i="4"/>
  <c r="W183" i="4"/>
  <c r="S187" i="4"/>
  <c r="V189" i="4"/>
  <c r="P193" i="4"/>
  <c r="M203" i="4"/>
  <c r="H207" i="4"/>
  <c r="U213" i="4"/>
  <c r="R225" i="4"/>
  <c r="R240" i="4"/>
  <c r="J243" i="4"/>
  <c r="K246" i="4"/>
  <c r="R249" i="4"/>
  <c r="N260" i="4"/>
  <c r="Q262" i="4"/>
  <c r="H177" i="4"/>
  <c r="U224" i="4"/>
  <c r="H263" i="4"/>
  <c r="L188" i="4"/>
  <c r="V202" i="4"/>
  <c r="J236" i="4"/>
  <c r="H200" i="4"/>
  <c r="K250" i="4"/>
  <c r="F224" i="4"/>
  <c r="H217" i="4"/>
  <c r="V181" i="4"/>
  <c r="N185" i="4"/>
  <c r="U187" i="4"/>
  <c r="W189" i="4"/>
  <c r="H191" i="4"/>
  <c r="V195" i="4"/>
  <c r="N203" i="4"/>
  <c r="W214" i="4"/>
  <c r="M223" i="4"/>
  <c r="N224" i="4"/>
  <c r="T240" i="4"/>
  <c r="K257" i="4"/>
  <c r="L258" i="4"/>
  <c r="H125" i="4"/>
  <c r="G148" i="4"/>
  <c r="N124" i="4"/>
  <c r="V127" i="4"/>
  <c r="M148" i="4"/>
  <c r="W127" i="4"/>
  <c r="V135" i="4"/>
  <c r="M139" i="4"/>
  <c r="V142" i="4"/>
  <c r="J111" i="4"/>
  <c r="N112" i="4"/>
  <c r="J122" i="4"/>
  <c r="S125" i="4"/>
  <c r="G136" i="4"/>
  <c r="J137" i="4"/>
  <c r="N138" i="4"/>
  <c r="R140" i="4"/>
  <c r="M144" i="4"/>
  <c r="Q148" i="4"/>
  <c r="P155" i="4"/>
  <c r="R168" i="4"/>
  <c r="F172" i="4"/>
  <c r="G173" i="4"/>
  <c r="V123" i="4"/>
  <c r="T112" i="4"/>
  <c r="Q136" i="4"/>
  <c r="H159" i="4"/>
  <c r="U127" i="4"/>
  <c r="Q135" i="4"/>
  <c r="H147" i="4"/>
  <c r="T173" i="4"/>
  <c r="P115" i="4"/>
  <c r="I130" i="4"/>
  <c r="S106" i="4"/>
  <c r="U107" i="4"/>
  <c r="M110" i="4"/>
  <c r="U118" i="4"/>
  <c r="Q123" i="4"/>
  <c r="K128" i="4"/>
  <c r="M130" i="4"/>
  <c r="W151" i="4"/>
  <c r="W152" i="4"/>
  <c r="U168" i="4"/>
  <c r="H174" i="4"/>
  <c r="S136" i="4"/>
  <c r="W137" i="4"/>
  <c r="Q151" i="4"/>
  <c r="G111" i="4"/>
  <c r="G137" i="4"/>
  <c r="N104" i="4"/>
  <c r="I142" i="4"/>
  <c r="J162" i="4"/>
  <c r="O165" i="4"/>
  <c r="J173" i="4"/>
  <c r="K174" i="4"/>
  <c r="O100" i="4"/>
  <c r="Q111" i="4"/>
  <c r="O135" i="4"/>
  <c r="L114" i="4"/>
  <c r="J148" i="4"/>
  <c r="R100" i="4"/>
  <c r="W163" i="4"/>
  <c r="U172" i="4"/>
  <c r="G123" i="4"/>
  <c r="G112" i="4"/>
  <c r="P124" i="4"/>
  <c r="S126" i="4"/>
  <c r="Q152" i="4"/>
  <c r="K112" i="4"/>
  <c r="Q116" i="4"/>
  <c r="W141" i="4"/>
  <c r="L154" i="4"/>
  <c r="L164" i="4"/>
  <c r="O103" i="4"/>
  <c r="M111" i="4"/>
  <c r="R113" i="4"/>
  <c r="W115" i="4"/>
  <c r="W116" i="4"/>
  <c r="M121" i="4"/>
  <c r="Q130" i="4"/>
  <c r="W133" i="4"/>
  <c r="N143" i="4"/>
  <c r="R145" i="4"/>
  <c r="U146" i="4"/>
  <c r="G151" i="4"/>
  <c r="G152" i="4"/>
  <c r="S154" i="4"/>
  <c r="V155" i="4"/>
  <c r="K162" i="4"/>
  <c r="L173" i="4"/>
  <c r="L174" i="4"/>
  <c r="W66" i="4"/>
  <c r="J90" i="4"/>
  <c r="K20" i="4"/>
  <c r="U43" i="4"/>
  <c r="L21" i="4"/>
  <c r="V54" i="4"/>
  <c r="M8" i="4"/>
  <c r="H18" i="4"/>
  <c r="V69" i="4"/>
  <c r="G79" i="4"/>
  <c r="J71" i="4"/>
  <c r="H81" i="4"/>
  <c r="X81" i="4" s="1"/>
  <c r="G83" i="4"/>
  <c r="F43" i="4"/>
  <c r="G54" i="4"/>
  <c r="I56" i="4"/>
  <c r="K71" i="4"/>
  <c r="L80" i="4"/>
  <c r="M82" i="4"/>
  <c r="Q90" i="4"/>
  <c r="T43" i="4"/>
  <c r="F18" i="4"/>
  <c r="K9" i="4"/>
  <c r="L19" i="4"/>
  <c r="W54" i="4"/>
  <c r="F81" i="4"/>
  <c r="T92" i="4"/>
  <c r="Q31" i="4"/>
  <c r="S59" i="4"/>
  <c r="G42" i="4"/>
  <c r="J44" i="4"/>
  <c r="R57" i="4"/>
  <c r="K23" i="4"/>
  <c r="P27" i="4"/>
  <c r="R36" i="4"/>
  <c r="L42" i="4"/>
  <c r="F69" i="4"/>
  <c r="V72" i="4"/>
  <c r="M83" i="4"/>
  <c r="O85" i="4"/>
  <c r="L93" i="4"/>
  <c r="K94" i="4"/>
  <c r="V20" i="4"/>
  <c r="W28" i="4"/>
  <c r="U29" i="4"/>
  <c r="Q37" i="4"/>
  <c r="H52" i="4"/>
  <c r="L61" i="4"/>
  <c r="H74" i="4"/>
  <c r="P84" i="4"/>
  <c r="P85" i="4"/>
  <c r="S86" i="4"/>
  <c r="Q42" i="4"/>
  <c r="G19" i="4"/>
  <c r="K46" i="4"/>
  <c r="J80" i="4"/>
  <c r="P20" i="4"/>
  <c r="H82" i="4"/>
  <c r="W22" i="4"/>
  <c r="H34" i="4"/>
  <c r="N36" i="4"/>
  <c r="L55" i="4"/>
  <c r="M79" i="4"/>
  <c r="Q10" i="4"/>
  <c r="P66" i="4"/>
  <c r="H95" i="4"/>
  <c r="I23" i="4"/>
  <c r="R47" i="4"/>
  <c r="T50" i="4"/>
  <c r="G61" i="4"/>
  <c r="S8" i="4"/>
  <c r="V11" i="4"/>
  <c r="P35" i="4"/>
  <c r="Q46" i="4"/>
  <c r="U58" i="4"/>
  <c r="U18" i="4"/>
  <c r="N23" i="4"/>
  <c r="R24" i="4"/>
  <c r="V36" i="4"/>
  <c r="S37" i="4"/>
  <c r="V38" i="4"/>
  <c r="W46" i="4"/>
  <c r="P54" i="4"/>
  <c r="G73" i="4"/>
  <c r="R81" i="4"/>
  <c r="G90" i="4"/>
  <c r="H91" i="4"/>
  <c r="K95" i="4"/>
  <c r="J26" i="4"/>
  <c r="R46" i="4"/>
  <c r="K66" i="4"/>
  <c r="K68" i="4"/>
  <c r="K132" i="4"/>
  <c r="K133" i="4"/>
  <c r="K15" i="4"/>
  <c r="K67" i="4"/>
  <c r="Q69" i="4"/>
  <c r="K106" i="4"/>
  <c r="K163" i="4"/>
  <c r="K198" i="4"/>
  <c r="K236" i="4"/>
  <c r="W21" i="4"/>
  <c r="H105" i="4"/>
  <c r="K189" i="4"/>
  <c r="K264" i="4"/>
  <c r="U57" i="4"/>
  <c r="K117" i="4"/>
  <c r="K127" i="4"/>
  <c r="K138" i="4"/>
  <c r="K139" i="4"/>
  <c r="K234" i="4"/>
  <c r="I8" i="4"/>
  <c r="N130" i="4"/>
  <c r="K148" i="4"/>
  <c r="K195" i="4"/>
  <c r="K202" i="4"/>
  <c r="K267" i="4"/>
  <c r="Q14" i="4"/>
  <c r="K45" i="4"/>
  <c r="K60" i="4"/>
  <c r="K146" i="4"/>
  <c r="K157" i="4"/>
  <c r="K160" i="4"/>
  <c r="K33" i="4"/>
  <c r="K42" i="4"/>
  <c r="K43" i="4"/>
  <c r="K77" i="4"/>
  <c r="K101" i="4"/>
  <c r="K124" i="4"/>
  <c r="K201" i="4"/>
  <c r="K5" i="4"/>
  <c r="K44" i="4"/>
  <c r="S93" i="4"/>
  <c r="K98" i="4"/>
  <c r="K110" i="4"/>
  <c r="K125" i="4"/>
  <c r="K171" i="4"/>
  <c r="K244" i="4"/>
  <c r="K260" i="4"/>
  <c r="K82" i="4"/>
  <c r="K97" i="4"/>
  <c r="K123" i="4"/>
  <c r="K154" i="4"/>
  <c r="K170" i="4"/>
  <c r="Q45" i="4"/>
  <c r="K109" i="4"/>
  <c r="K168" i="4"/>
  <c r="K169" i="4"/>
  <c r="Q21" i="4"/>
  <c r="K55" i="4"/>
  <c r="N57" i="4"/>
  <c r="K122" i="4"/>
  <c r="J178" i="4"/>
  <c r="K199" i="4"/>
  <c r="K242" i="4"/>
  <c r="K3" i="4"/>
  <c r="U22" i="4"/>
  <c r="K225" i="4"/>
  <c r="P3" i="4"/>
  <c r="J5" i="4"/>
  <c r="U13" i="4"/>
  <c r="N28" i="4"/>
  <c r="G31" i="4"/>
  <c r="U32" i="4"/>
  <c r="I36" i="4"/>
  <c r="S44" i="4"/>
  <c r="R65" i="4"/>
  <c r="I68" i="4"/>
  <c r="S72" i="4"/>
  <c r="R73" i="4"/>
  <c r="N75" i="4"/>
  <c r="S85" i="4"/>
  <c r="J89" i="4"/>
  <c r="H90" i="4"/>
  <c r="U92" i="4"/>
  <c r="N95" i="4"/>
  <c r="U99" i="4"/>
  <c r="J112" i="4"/>
  <c r="F113" i="4"/>
  <c r="U114" i="4"/>
  <c r="R121" i="4"/>
  <c r="R122" i="4"/>
  <c r="H132" i="4"/>
  <c r="P137" i="4"/>
  <c r="I140" i="4"/>
  <c r="H141" i="4"/>
  <c r="U143" i="4"/>
  <c r="P146" i="4"/>
  <c r="S151" i="4"/>
  <c r="J155" i="4"/>
  <c r="U157" i="4"/>
  <c r="S159" i="4"/>
  <c r="P175" i="4"/>
  <c r="L177" i="4"/>
  <c r="G179" i="4"/>
  <c r="Q184" i="4"/>
  <c r="J189" i="4"/>
  <c r="U191" i="4"/>
  <c r="R203" i="4"/>
  <c r="L207" i="4"/>
  <c r="W208" i="4"/>
  <c r="P213" i="4"/>
  <c r="S219" i="4"/>
  <c r="P222" i="4"/>
  <c r="I224" i="4"/>
  <c r="H225" i="4"/>
  <c r="S230" i="4"/>
  <c r="W238" i="4"/>
  <c r="V239" i="4"/>
  <c r="H247" i="4"/>
  <c r="I266" i="4"/>
  <c r="H267" i="4"/>
  <c r="G6" i="4"/>
  <c r="H24" i="4"/>
  <c r="N35" i="4"/>
  <c r="P9" i="4"/>
  <c r="I18" i="4"/>
  <c r="W19" i="4"/>
  <c r="Q27" i="4"/>
  <c r="N29" i="4"/>
  <c r="J31" i="4"/>
  <c r="V32" i="4"/>
  <c r="S33" i="4"/>
  <c r="R34" i="4"/>
  <c r="W44" i="4"/>
  <c r="N46" i="4"/>
  <c r="S51" i="4"/>
  <c r="S58" i="4"/>
  <c r="P59" i="4"/>
  <c r="F63" i="4"/>
  <c r="U64" i="4"/>
  <c r="S65" i="4"/>
  <c r="I70" i="4"/>
  <c r="S73" i="4"/>
  <c r="H77" i="4"/>
  <c r="F91" i="4"/>
  <c r="P101" i="4"/>
  <c r="I105" i="4"/>
  <c r="V107" i="4"/>
  <c r="F114" i="4"/>
  <c r="W120" i="4"/>
  <c r="F127" i="4"/>
  <c r="U128" i="4"/>
  <c r="G134" i="4"/>
  <c r="U136" i="4"/>
  <c r="H142" i="4"/>
  <c r="J149" i="4"/>
  <c r="W150" i="4"/>
  <c r="N154" i="4"/>
  <c r="I156" i="4"/>
  <c r="J163" i="4"/>
  <c r="J170" i="4"/>
  <c r="P176" i="4"/>
  <c r="J179" i="4"/>
  <c r="R183" i="4"/>
  <c r="P185" i="4"/>
  <c r="O187" i="4"/>
  <c r="F191" i="4"/>
  <c r="U193" i="4"/>
  <c r="M197" i="4"/>
  <c r="L199" i="4"/>
  <c r="P205" i="4"/>
  <c r="W209" i="4"/>
  <c r="I216" i="4"/>
  <c r="S220" i="4"/>
  <c r="I225" i="4"/>
  <c r="F238" i="4"/>
  <c r="W239" i="4"/>
  <c r="V240" i="4"/>
  <c r="U241" i="4"/>
  <c r="H248" i="4"/>
  <c r="S252" i="4"/>
  <c r="M256" i="4"/>
  <c r="U262" i="4"/>
  <c r="J266" i="4"/>
  <c r="I267" i="4"/>
  <c r="J6" i="4"/>
  <c r="F13" i="4"/>
  <c r="S14" i="4"/>
  <c r="S21" i="4"/>
  <c r="M24" i="4"/>
  <c r="F32" i="4"/>
  <c r="W32" i="4"/>
  <c r="L36" i="4"/>
  <c r="U39" i="4"/>
  <c r="P41" i="4"/>
  <c r="M43" i="4"/>
  <c r="I48" i="4"/>
  <c r="M55" i="4"/>
  <c r="H63" i="4"/>
  <c r="L68" i="4"/>
  <c r="U72" i="4"/>
  <c r="N76" i="4"/>
  <c r="U85" i="4"/>
  <c r="N88" i="4"/>
  <c r="P95" i="4"/>
  <c r="N96" i="4"/>
  <c r="F99" i="4"/>
  <c r="G107" i="4"/>
  <c r="W107" i="4"/>
  <c r="Q109" i="4"/>
  <c r="L112" i="4"/>
  <c r="H114" i="4"/>
  <c r="N119" i="4"/>
  <c r="J120" i="4"/>
  <c r="U122" i="4"/>
  <c r="L126" i="4"/>
  <c r="P129" i="4"/>
  <c r="J134" i="4"/>
  <c r="P138" i="4"/>
  <c r="N141" i="4"/>
  <c r="F143" i="4"/>
  <c r="U144" i="4"/>
  <c r="S145" i="4"/>
  <c r="F150" i="4"/>
  <c r="R153" i="4"/>
  <c r="U159" i="4"/>
  <c r="N162" i="4"/>
  <c r="V165" i="4"/>
  <c r="V166" i="4"/>
  <c r="J171" i="4"/>
  <c r="L178" i="4"/>
  <c r="G181" i="4"/>
  <c r="S194" i="4"/>
  <c r="I200" i="4"/>
  <c r="G201" i="4"/>
  <c r="Q204" i="4"/>
  <c r="Q205" i="4"/>
  <c r="J208" i="4"/>
  <c r="G209" i="4"/>
  <c r="R212" i="4"/>
  <c r="O214" i="4"/>
  <c r="R221" i="4"/>
  <c r="H227" i="4"/>
  <c r="M235" i="4"/>
  <c r="L237" i="4"/>
  <c r="I248" i="4"/>
  <c r="P255" i="4"/>
  <c r="H259" i="4"/>
  <c r="Q263" i="4"/>
  <c r="J267" i="4"/>
  <c r="S3" i="4"/>
  <c r="P4" i="4"/>
  <c r="P10" i="4"/>
  <c r="H13" i="4"/>
  <c r="S15" i="4"/>
  <c r="R16" i="4"/>
  <c r="H26" i="4"/>
  <c r="V27" i="4"/>
  <c r="F39" i="4"/>
  <c r="C45" i="4"/>
  <c r="J48" i="4"/>
  <c r="U50" i="4"/>
  <c r="U51" i="4"/>
  <c r="Q52" i="4"/>
  <c r="F57" i="4"/>
  <c r="N62" i="4"/>
  <c r="U65" i="4"/>
  <c r="M70" i="4"/>
  <c r="I71" i="4"/>
  <c r="F72" i="4"/>
  <c r="Q74" i="4"/>
  <c r="R75" i="4"/>
  <c r="L77" i="4"/>
  <c r="J78" i="4"/>
  <c r="H92" i="4"/>
  <c r="M97" i="4"/>
  <c r="H99" i="4"/>
  <c r="M104" i="4"/>
  <c r="U108" i="4"/>
  <c r="I114" i="4"/>
  <c r="F128" i="4"/>
  <c r="H135" i="4"/>
  <c r="W136" i="4"/>
  <c r="N148" i="4"/>
  <c r="S175" i="4"/>
  <c r="M178" i="4"/>
  <c r="V184" i="4"/>
  <c r="R187" i="4"/>
  <c r="W193" i="4"/>
  <c r="O198" i="4"/>
  <c r="J201" i="4"/>
  <c r="G202" i="4"/>
  <c r="P215" i="4"/>
  <c r="I217" i="4"/>
  <c r="M224" i="4"/>
  <c r="N238" i="4"/>
  <c r="G240" i="4"/>
  <c r="S242" i="4"/>
  <c r="J249" i="4"/>
  <c r="I259" i="4"/>
  <c r="W262" i="4"/>
  <c r="M266" i="4"/>
  <c r="O5" i="4"/>
  <c r="G14" i="4"/>
  <c r="T15" i="4"/>
  <c r="S16" i="4"/>
  <c r="M18" i="4"/>
  <c r="L25" i="4"/>
  <c r="I26" i="4"/>
  <c r="G27" i="4"/>
  <c r="M31" i="4"/>
  <c r="W33" i="4"/>
  <c r="U34" i="4"/>
  <c r="R35" i="4"/>
  <c r="S41" i="4"/>
  <c r="G45" i="4"/>
  <c r="L48" i="4"/>
  <c r="H50" i="4"/>
  <c r="J56" i="4"/>
  <c r="W58" i="4"/>
  <c r="O69" i="4"/>
  <c r="N70" i="4"/>
  <c r="S75" i="4"/>
  <c r="N83" i="4"/>
  <c r="S94" i="4"/>
  <c r="S102" i="4"/>
  <c r="N105" i="4"/>
  <c r="J114" i="4"/>
  <c r="P118" i="4"/>
  <c r="U123" i="4"/>
  <c r="P125" i="4"/>
  <c r="M134" i="4"/>
  <c r="I135" i="4"/>
  <c r="H136" i="4"/>
  <c r="I143" i="4"/>
  <c r="H144" i="4"/>
  <c r="Q147" i="4"/>
  <c r="V152" i="4"/>
  <c r="V160" i="4"/>
  <c r="R161" i="4"/>
  <c r="P162" i="4"/>
  <c r="N164" i="4"/>
  <c r="U167" i="4"/>
  <c r="S168" i="4"/>
  <c r="V174" i="4"/>
  <c r="U175" i="4"/>
  <c r="S176" i="4"/>
  <c r="Q177" i="4"/>
  <c r="J181" i="4"/>
  <c r="H182" i="4"/>
  <c r="X182" i="4" s="1"/>
  <c r="N190" i="4"/>
  <c r="J192" i="4"/>
  <c r="J193" i="4"/>
  <c r="P198" i="4"/>
  <c r="L200" i="4"/>
  <c r="J202" i="4"/>
  <c r="S206" i="4"/>
  <c r="M209" i="4"/>
  <c r="H210" i="4"/>
  <c r="M216" i="4"/>
  <c r="J217" i="4"/>
  <c r="I218" i="4"/>
  <c r="P235" i="4"/>
  <c r="N236" i="4"/>
  <c r="F241" i="4"/>
  <c r="W252" i="4"/>
  <c r="F262" i="4"/>
  <c r="U3" i="4"/>
  <c r="S4" i="4"/>
  <c r="N19" i="4"/>
  <c r="G40" i="4"/>
  <c r="W40" i="4"/>
  <c r="S52" i="4"/>
  <c r="S54" i="4"/>
  <c r="V59" i="4"/>
  <c r="S67" i="4"/>
  <c r="I72" i="4"/>
  <c r="H79" i="4"/>
  <c r="P89" i="4"/>
  <c r="N91" i="4"/>
  <c r="P97" i="4"/>
  <c r="N127" i="4"/>
  <c r="Q140" i="4"/>
  <c r="J144" i="4"/>
  <c r="U153" i="4"/>
  <c r="H166" i="4"/>
  <c r="G184" i="4"/>
  <c r="T187" i="4"/>
  <c r="S197" i="4"/>
  <c r="Q198" i="4"/>
  <c r="F204" i="4"/>
  <c r="V205" i="4"/>
  <c r="T206" i="4"/>
  <c r="N209" i="4"/>
  <c r="J218" i="4"/>
  <c r="G220" i="4"/>
  <c r="V243" i="4"/>
  <c r="P246" i="4"/>
  <c r="S255" i="4"/>
  <c r="R264" i="4"/>
  <c r="R265" i="4"/>
  <c r="P266" i="4"/>
  <c r="F3" i="4"/>
  <c r="Q5" i="4"/>
  <c r="N7" i="4"/>
  <c r="W9" i="4"/>
  <c r="N12" i="4"/>
  <c r="J14" i="4"/>
  <c r="G15" i="4"/>
  <c r="S17" i="4"/>
  <c r="M20" i="4"/>
  <c r="S23" i="4"/>
  <c r="J27" i="4"/>
  <c r="G28" i="4"/>
  <c r="F34" i="4"/>
  <c r="N38" i="4"/>
  <c r="J45" i="4"/>
  <c r="W45" i="4"/>
  <c r="O57" i="4"/>
  <c r="G59" i="4"/>
  <c r="U75" i="4"/>
  <c r="M78" i="4"/>
  <c r="J86" i="4"/>
  <c r="U87" i="4"/>
  <c r="V95" i="4"/>
  <c r="G101" i="4"/>
  <c r="I108" i="4"/>
  <c r="G109" i="4"/>
  <c r="R111" i="4"/>
  <c r="R119" i="4"/>
  <c r="U130" i="4"/>
  <c r="F138" i="4"/>
  <c r="N150" i="4"/>
  <c r="P163" i="4"/>
  <c r="P170" i="4"/>
  <c r="Q178" i="4"/>
  <c r="P179" i="4"/>
  <c r="L181" i="4"/>
  <c r="J184" i="4"/>
  <c r="G185" i="4"/>
  <c r="P190" i="4"/>
  <c r="H194" i="4"/>
  <c r="V196" i="4"/>
  <c r="O216" i="4"/>
  <c r="S235" i="4"/>
  <c r="M240" i="4"/>
  <c r="I242" i="4"/>
  <c r="M249" i="4"/>
  <c r="T264" i="4"/>
  <c r="S265" i="4"/>
  <c r="U4" i="4"/>
  <c r="P6" i="4"/>
  <c r="Q18" i="4"/>
  <c r="P19" i="4"/>
  <c r="J21" i="4"/>
  <c r="F22" i="4"/>
  <c r="S30" i="4"/>
  <c r="J40" i="4"/>
  <c r="G41" i="4"/>
  <c r="W41" i="4"/>
  <c r="V46" i="4"/>
  <c r="G52" i="4"/>
  <c r="R62" i="4"/>
  <c r="U67" i="4"/>
  <c r="R68" i="4"/>
  <c r="G74" i="4"/>
  <c r="S76" i="4"/>
  <c r="F87" i="4"/>
  <c r="J94" i="4"/>
  <c r="W95" i="4"/>
  <c r="V110" i="4"/>
  <c r="H123" i="4"/>
  <c r="N128" i="4"/>
  <c r="S140" i="4"/>
  <c r="F153" i="4"/>
  <c r="U154" i="4"/>
  <c r="W176" i="4"/>
  <c r="M202" i="4"/>
  <c r="I204" i="4"/>
  <c r="G205" i="4"/>
  <c r="V206" i="4"/>
  <c r="S207" i="4"/>
  <c r="P208" i="4"/>
  <c r="J220" i="4"/>
  <c r="F222" i="4"/>
  <c r="U223" i="4"/>
  <c r="M229" i="4"/>
  <c r="Q237" i="4"/>
  <c r="R246" i="4"/>
  <c r="L250" i="4"/>
  <c r="I263" i="4"/>
  <c r="U264" i="4"/>
  <c r="I3" i="4"/>
  <c r="F4" i="4"/>
  <c r="J9" i="4"/>
  <c r="U11" i="4"/>
  <c r="P12" i="4"/>
  <c r="H22" i="4"/>
  <c r="U23" i="4"/>
  <c r="T24" i="4"/>
  <c r="J28" i="4"/>
  <c r="O39" i="4"/>
  <c r="G60" i="4"/>
  <c r="H66" i="4"/>
  <c r="N72" i="4"/>
  <c r="S83" i="4"/>
  <c r="L86" i="4"/>
  <c r="H87" i="4"/>
  <c r="S97" i="4"/>
  <c r="P107" i="4"/>
  <c r="G110" i="4"/>
  <c r="T113" i="4"/>
  <c r="H117" i="4"/>
  <c r="G124" i="4"/>
  <c r="U132" i="4"/>
  <c r="F154" i="4"/>
  <c r="R164" i="4"/>
  <c r="P172" i="4"/>
  <c r="V177" i="4"/>
  <c r="I185" i="4"/>
  <c r="J204" i="4"/>
  <c r="F223" i="4"/>
  <c r="V223" i="4"/>
  <c r="S226" i="4"/>
  <c r="H233" i="4"/>
  <c r="V256" i="4"/>
  <c r="J263" i="4"/>
  <c r="N2" i="4"/>
  <c r="M14" i="4"/>
  <c r="F23" i="4"/>
  <c r="J41" i="4"/>
  <c r="W42" i="4"/>
  <c r="M45" i="4"/>
  <c r="U47" i="4"/>
  <c r="I52" i="4"/>
  <c r="U62" i="4"/>
  <c r="S63" i="4"/>
  <c r="J74" i="4"/>
  <c r="S84" i="4"/>
  <c r="H88" i="4"/>
  <c r="N100" i="4"/>
  <c r="U113" i="4"/>
  <c r="U119" i="4"/>
  <c r="W125" i="4"/>
  <c r="U126" i="4"/>
  <c r="L137" i="4"/>
  <c r="U141" i="4"/>
  <c r="I153" i="4"/>
  <c r="H154" i="4"/>
  <c r="S164" i="4"/>
  <c r="P181" i="4"/>
  <c r="R191" i="4"/>
  <c r="R200" i="4"/>
  <c r="U207" i="4"/>
  <c r="P218" i="4"/>
  <c r="N231" i="4"/>
  <c r="U236" i="4"/>
  <c r="O262" i="4"/>
  <c r="O2" i="4"/>
  <c r="J10" i="4"/>
  <c r="F11" i="4"/>
  <c r="H17" i="4"/>
  <c r="S19" i="4"/>
  <c r="H23" i="4"/>
  <c r="T25" i="4"/>
  <c r="G30" i="4"/>
  <c r="S32" i="4"/>
  <c r="Q39" i="4"/>
  <c r="V43" i="4"/>
  <c r="F47" i="4"/>
  <c r="H103" i="4"/>
  <c r="L124" i="4"/>
  <c r="H131" i="4"/>
  <c r="U156" i="4"/>
  <c r="L160" i="4"/>
  <c r="Q181" i="4"/>
  <c r="I187" i="4"/>
  <c r="S191" i="4"/>
  <c r="G215" i="4"/>
  <c r="U216" i="4"/>
  <c r="I235" i="4"/>
  <c r="W236" i="4"/>
  <c r="V6" i="4"/>
  <c r="Q8" i="4"/>
  <c r="N34" i="4"/>
  <c r="W37" i="4"/>
  <c r="J42" i="4"/>
  <c r="G55" i="4"/>
  <c r="W55" i="4"/>
  <c r="N59" i="4"/>
  <c r="L60" i="4"/>
  <c r="U63" i="4"/>
  <c r="F70" i="4"/>
  <c r="U84" i="4"/>
  <c r="H104" i="4"/>
  <c r="F119" i="4"/>
  <c r="F126" i="4"/>
  <c r="I28" i="4"/>
  <c r="U41" i="4"/>
  <c r="D12" i="4"/>
  <c r="Q16" i="4"/>
  <c r="D101" i="4"/>
  <c r="C4" i="4"/>
  <c r="E20" i="4"/>
  <c r="E5" i="4"/>
  <c r="D16" i="4"/>
  <c r="E44" i="4"/>
  <c r="C77" i="4"/>
  <c r="C21" i="4"/>
  <c r="K21" i="4"/>
  <c r="V21" i="4"/>
  <c r="G21" i="4"/>
  <c r="P21" i="4"/>
  <c r="D21" i="4"/>
  <c r="E141" i="4"/>
  <c r="C141" i="4"/>
  <c r="M141" i="4"/>
  <c r="V141" i="4"/>
  <c r="J141" i="4"/>
  <c r="G141" i="4"/>
  <c r="D141" i="4"/>
  <c r="K141" i="4"/>
  <c r="I141" i="4"/>
  <c r="U189" i="4"/>
  <c r="I189" i="4"/>
  <c r="T189" i="4"/>
  <c r="H189" i="4"/>
  <c r="S189" i="4"/>
  <c r="F189" i="4"/>
  <c r="C189" i="4"/>
  <c r="D189" i="4"/>
  <c r="E189" i="4"/>
  <c r="C35" i="4"/>
  <c r="J35" i="4"/>
  <c r="H35" i="4"/>
  <c r="F35" i="4"/>
  <c r="D35" i="4"/>
  <c r="C49" i="4"/>
  <c r="N49" i="4"/>
  <c r="H49" i="4"/>
  <c r="R49" i="4"/>
  <c r="F49" i="4"/>
  <c r="E49" i="4"/>
  <c r="D49" i="4"/>
  <c r="C61" i="4"/>
  <c r="K61" i="4"/>
  <c r="J61" i="4"/>
  <c r="S61" i="4"/>
  <c r="F61" i="4"/>
  <c r="E61" i="4"/>
  <c r="D61" i="4"/>
  <c r="I73" i="4"/>
  <c r="H73" i="4"/>
  <c r="F73" i="4"/>
  <c r="E73" i="4"/>
  <c r="D73" i="4"/>
  <c r="K73" i="4"/>
  <c r="J73" i="4"/>
  <c r="G85" i="4"/>
  <c r="N85" i="4"/>
  <c r="M85" i="4"/>
  <c r="V85" i="4"/>
  <c r="E85" i="4"/>
  <c r="D85" i="4"/>
  <c r="C85" i="4"/>
  <c r="I85" i="4"/>
  <c r="U97" i="4"/>
  <c r="I97" i="4"/>
  <c r="H97" i="4"/>
  <c r="F97" i="4"/>
  <c r="E97" i="4"/>
  <c r="N97" i="4"/>
  <c r="D97" i="4"/>
  <c r="C97" i="4"/>
  <c r="J109" i="4"/>
  <c r="U109" i="4"/>
  <c r="I109" i="4"/>
  <c r="S109" i="4"/>
  <c r="F109" i="4"/>
  <c r="C109" i="4"/>
  <c r="E109" i="4"/>
  <c r="D109" i="4"/>
  <c r="C121" i="4"/>
  <c r="L121" i="4"/>
  <c r="W121" i="4"/>
  <c r="H121" i="4"/>
  <c r="S121" i="4"/>
  <c r="F121" i="4"/>
  <c r="E121" i="4"/>
  <c r="D121" i="4"/>
  <c r="U121" i="4"/>
  <c r="N133" i="4"/>
  <c r="I133" i="4"/>
  <c r="U133" i="4"/>
  <c r="S133" i="4"/>
  <c r="F133" i="4"/>
  <c r="R133" i="4"/>
  <c r="E133" i="4"/>
  <c r="D133" i="4"/>
  <c r="C133" i="4"/>
  <c r="K2" i="4"/>
  <c r="F9" i="4"/>
  <c r="E14" i="4"/>
  <c r="Q32" i="4"/>
  <c r="E39" i="4"/>
  <c r="E46" i="4"/>
  <c r="C57" i="4"/>
  <c r="L57" i="4"/>
  <c r="M57" i="4"/>
  <c r="K57" i="4"/>
  <c r="J57" i="4"/>
  <c r="G57" i="4"/>
  <c r="E57" i="4"/>
  <c r="D57" i="4"/>
  <c r="M225" i="4"/>
  <c r="C225" i="4"/>
  <c r="W225" i="4"/>
  <c r="J225" i="4"/>
  <c r="U225" i="4"/>
  <c r="S225" i="4"/>
  <c r="F225" i="4"/>
  <c r="E225" i="4"/>
  <c r="D225" i="4"/>
  <c r="C26" i="4"/>
  <c r="W26" i="4"/>
  <c r="V26" i="4"/>
  <c r="S26" i="4"/>
  <c r="F26" i="4"/>
  <c r="D26" i="4"/>
  <c r="C38" i="4"/>
  <c r="J38" i="4"/>
  <c r="S38" i="4"/>
  <c r="G38" i="4"/>
  <c r="D38" i="4"/>
  <c r="E146" i="4"/>
  <c r="C146" i="4"/>
  <c r="M146" i="4"/>
  <c r="J146" i="4"/>
  <c r="I146" i="4"/>
  <c r="G146" i="4"/>
  <c r="L146" i="4"/>
  <c r="D146" i="4"/>
  <c r="E158" i="4"/>
  <c r="C158" i="4"/>
  <c r="U158" i="4"/>
  <c r="I158" i="4"/>
  <c r="S158" i="4"/>
  <c r="K158" i="4"/>
  <c r="F158" i="4"/>
  <c r="L158" i="4"/>
  <c r="D158" i="4"/>
  <c r="R170" i="4"/>
  <c r="F170" i="4"/>
  <c r="E170" i="4"/>
  <c r="D170" i="4"/>
  <c r="C170" i="4"/>
  <c r="N170" i="4"/>
  <c r="U170" i="4"/>
  <c r="I170" i="4"/>
  <c r="S170" i="4"/>
  <c r="N182" i="4"/>
  <c r="L182" i="4"/>
  <c r="C182" i="4"/>
  <c r="U182" i="4"/>
  <c r="F182" i="4"/>
  <c r="E182" i="4"/>
  <c r="D182" i="4"/>
  <c r="J182" i="4"/>
  <c r="I182" i="4"/>
  <c r="N194" i="4"/>
  <c r="K194" i="4"/>
  <c r="I194" i="4"/>
  <c r="F194" i="4"/>
  <c r="E194" i="4"/>
  <c r="D194" i="4"/>
  <c r="C194" i="4"/>
  <c r="U194" i="4"/>
  <c r="C206" i="4"/>
  <c r="N206" i="4"/>
  <c r="J206" i="4"/>
  <c r="I206" i="4"/>
  <c r="G206" i="4"/>
  <c r="Q206" i="4"/>
  <c r="E206" i="4"/>
  <c r="D206" i="4"/>
  <c r="C218" i="4"/>
  <c r="N218" i="4"/>
  <c r="W218" i="4"/>
  <c r="K218" i="4"/>
  <c r="U218" i="4"/>
  <c r="R218" i="4"/>
  <c r="F218" i="4"/>
  <c r="E218" i="4"/>
  <c r="D218" i="4"/>
  <c r="N230" i="4"/>
  <c r="J230" i="4"/>
  <c r="I230" i="4"/>
  <c r="U230" i="4"/>
  <c r="H230" i="4"/>
  <c r="F230" i="4"/>
  <c r="E230" i="4"/>
  <c r="D230" i="4"/>
  <c r="C230" i="4"/>
  <c r="R242" i="4"/>
  <c r="F242" i="4"/>
  <c r="E242" i="4"/>
  <c r="D242" i="4"/>
  <c r="C242" i="4"/>
  <c r="W242" i="4"/>
  <c r="U242" i="4"/>
  <c r="H242" i="4"/>
  <c r="T242" i="4"/>
  <c r="F254" i="4"/>
  <c r="E254" i="4"/>
  <c r="D254" i="4"/>
  <c r="C254" i="4"/>
  <c r="J254" i="4"/>
  <c r="U254" i="4"/>
  <c r="I254" i="4"/>
  <c r="S254" i="4"/>
  <c r="H254" i="4"/>
  <c r="F266" i="4"/>
  <c r="E266" i="4"/>
  <c r="D266" i="4"/>
  <c r="O266" i="4"/>
  <c r="C266" i="4"/>
  <c r="W266" i="4"/>
  <c r="K266" i="4"/>
  <c r="U266" i="4"/>
  <c r="S266" i="4"/>
  <c r="D4" i="4"/>
  <c r="Q4" i="4"/>
  <c r="U5" i="4"/>
  <c r="D8" i="4"/>
  <c r="U9" i="4"/>
  <c r="U12" i="4"/>
  <c r="U14" i="4"/>
  <c r="E16" i="4"/>
  <c r="E34" i="4"/>
  <c r="U46" i="4"/>
  <c r="C73" i="4"/>
  <c r="E165" i="4"/>
  <c r="D165" i="4"/>
  <c r="C165" i="4"/>
  <c r="J165" i="4"/>
  <c r="U165" i="4"/>
  <c r="S165" i="4"/>
  <c r="K165" i="4"/>
  <c r="F165" i="4"/>
  <c r="W165" i="4"/>
  <c r="C22" i="4"/>
  <c r="J22" i="4"/>
  <c r="G22" i="4"/>
  <c r="P22" i="4"/>
  <c r="D22" i="4"/>
  <c r="C11" i="4"/>
  <c r="J11" i="4"/>
  <c r="S11" i="4"/>
  <c r="G11" i="4"/>
  <c r="E147" i="4"/>
  <c r="C147" i="4"/>
  <c r="N147" i="4"/>
  <c r="U147" i="4"/>
  <c r="I147" i="4"/>
  <c r="D147" i="4"/>
  <c r="R147" i="4"/>
  <c r="K147" i="4"/>
  <c r="F147" i="4"/>
  <c r="P195" i="4"/>
  <c r="D195" i="4"/>
  <c r="C195" i="4"/>
  <c r="U195" i="4"/>
  <c r="I195" i="4"/>
  <c r="H195" i="4"/>
  <c r="S195" i="4"/>
  <c r="F195" i="4"/>
  <c r="E195" i="4"/>
  <c r="C219" i="4"/>
  <c r="U219" i="4"/>
  <c r="I219" i="4"/>
  <c r="H219" i="4"/>
  <c r="R219" i="4"/>
  <c r="F219" i="4"/>
  <c r="E219" i="4"/>
  <c r="D219" i="4"/>
  <c r="D231" i="4"/>
  <c r="C231" i="4"/>
  <c r="J231" i="4"/>
  <c r="U231" i="4"/>
  <c r="I231" i="4"/>
  <c r="H231" i="4"/>
  <c r="S231" i="4"/>
  <c r="F231" i="4"/>
  <c r="E231" i="4"/>
  <c r="R267" i="4"/>
  <c r="F267" i="4"/>
  <c r="E267" i="4"/>
  <c r="D267" i="4"/>
  <c r="C267" i="4"/>
  <c r="N267" i="4"/>
  <c r="U267" i="4"/>
  <c r="T267" i="4"/>
  <c r="L6" i="4"/>
  <c r="E8" i="4"/>
  <c r="Q11" i="4"/>
  <c r="U16" i="4"/>
  <c r="I22" i="4"/>
  <c r="E42" i="4"/>
  <c r="U44" i="4"/>
  <c r="C201" i="4"/>
  <c r="M201" i="4"/>
  <c r="U201" i="4"/>
  <c r="I201" i="4"/>
  <c r="H201" i="4"/>
  <c r="S201" i="4"/>
  <c r="F201" i="4"/>
  <c r="E201" i="4"/>
  <c r="D201" i="4"/>
  <c r="C62" i="4"/>
  <c r="L62" i="4"/>
  <c r="J62" i="4"/>
  <c r="S62" i="4"/>
  <c r="F62" i="4"/>
  <c r="E62" i="4"/>
  <c r="D62" i="4"/>
  <c r="U98" i="4"/>
  <c r="I98" i="4"/>
  <c r="S98" i="4"/>
  <c r="F98" i="4"/>
  <c r="E98" i="4"/>
  <c r="M98" i="4"/>
  <c r="J98" i="4"/>
  <c r="D98" i="4"/>
  <c r="E134" i="4"/>
  <c r="L134" i="4"/>
  <c r="U134" i="4"/>
  <c r="I134" i="4"/>
  <c r="H134" i="4"/>
  <c r="D134" i="4"/>
  <c r="C134" i="4"/>
  <c r="S134" i="4"/>
  <c r="F134" i="4"/>
  <c r="M123" i="4"/>
  <c r="F123" i="4"/>
  <c r="E123" i="4"/>
  <c r="D123" i="4"/>
  <c r="C123" i="4"/>
  <c r="I123" i="4"/>
  <c r="T123" i="4"/>
  <c r="L123" i="4"/>
  <c r="E135" i="4"/>
  <c r="C135" i="4"/>
  <c r="N135" i="4"/>
  <c r="U135" i="4"/>
  <c r="S135" i="4"/>
  <c r="F135" i="4"/>
  <c r="R135" i="4"/>
  <c r="D135" i="4"/>
  <c r="W135" i="4"/>
  <c r="S183" i="4"/>
  <c r="F183" i="4"/>
  <c r="E183" i="4"/>
  <c r="D183" i="4"/>
  <c r="C183" i="4"/>
  <c r="V183" i="4"/>
  <c r="U183" i="4"/>
  <c r="I183" i="4"/>
  <c r="H183" i="4"/>
  <c r="C207" i="4"/>
  <c r="K207" i="4"/>
  <c r="V207" i="4"/>
  <c r="J207" i="4"/>
  <c r="I207" i="4"/>
  <c r="X207" i="4" s="1"/>
  <c r="G207" i="4"/>
  <c r="E207" i="4"/>
  <c r="D207" i="4"/>
  <c r="F243" i="4"/>
  <c r="E243" i="4"/>
  <c r="D243" i="4"/>
  <c r="C243" i="4"/>
  <c r="U243" i="4"/>
  <c r="I243" i="4"/>
  <c r="H243" i="4"/>
  <c r="S243" i="4"/>
  <c r="C3" i="4"/>
  <c r="F8" i="4"/>
  <c r="D11" i="4"/>
  <c r="I20" i="4"/>
  <c r="E27" i="4"/>
  <c r="E32" i="4"/>
  <c r="E37" i="4"/>
  <c r="U60" i="4"/>
  <c r="C9" i="4"/>
  <c r="M9" i="4"/>
  <c r="S9" i="4"/>
  <c r="E69" i="4"/>
  <c r="P69" i="4"/>
  <c r="D69" i="4"/>
  <c r="C69" i="4"/>
  <c r="M69" i="4"/>
  <c r="L69" i="4"/>
  <c r="J69" i="4"/>
  <c r="U69" i="4"/>
  <c r="G69" i="4"/>
  <c r="I93" i="4"/>
  <c r="H93" i="4"/>
  <c r="F93" i="4"/>
  <c r="E93" i="4"/>
  <c r="K93" i="4"/>
  <c r="J93" i="4"/>
  <c r="D93" i="4"/>
  <c r="C93" i="4"/>
  <c r="C10" i="4"/>
  <c r="S10" i="4"/>
  <c r="S99" i="4"/>
  <c r="G99" i="4"/>
  <c r="Q99" i="4"/>
  <c r="E99" i="4"/>
  <c r="M99" i="4"/>
  <c r="J99" i="4"/>
  <c r="D99" i="4"/>
  <c r="C99" i="4"/>
  <c r="E159" i="4"/>
  <c r="P159" i="4"/>
  <c r="D159" i="4"/>
  <c r="C159" i="4"/>
  <c r="J159" i="4"/>
  <c r="I159" i="4"/>
  <c r="K159" i="4"/>
  <c r="F159" i="4"/>
  <c r="R171" i="4"/>
  <c r="F171" i="4"/>
  <c r="E171" i="4"/>
  <c r="D171" i="4"/>
  <c r="C171" i="4"/>
  <c r="U171" i="4"/>
  <c r="I171" i="4"/>
  <c r="S171" i="4"/>
  <c r="F255" i="4"/>
  <c r="E255" i="4"/>
  <c r="D255" i="4"/>
  <c r="C255" i="4"/>
  <c r="N255" i="4"/>
  <c r="K255" i="4"/>
  <c r="J255" i="4"/>
  <c r="U255" i="4"/>
  <c r="I255" i="4"/>
  <c r="M4" i="4"/>
  <c r="V4" i="4"/>
  <c r="C16" i="4"/>
  <c r="J16" i="4"/>
  <c r="H16" i="4"/>
  <c r="F16" i="4"/>
  <c r="C28" i="4"/>
  <c r="S28" i="4"/>
  <c r="F28" i="4"/>
  <c r="P28" i="4"/>
  <c r="D28" i="4"/>
  <c r="C40" i="4"/>
  <c r="N40" i="4"/>
  <c r="S40" i="4"/>
  <c r="F40" i="4"/>
  <c r="D40" i="4"/>
  <c r="C52" i="4"/>
  <c r="N52" i="4"/>
  <c r="M52" i="4"/>
  <c r="W52" i="4"/>
  <c r="V52" i="4"/>
  <c r="T52" i="4"/>
  <c r="F52" i="4"/>
  <c r="E52" i="4"/>
  <c r="D52" i="4"/>
  <c r="C64" i="4"/>
  <c r="L64" i="4"/>
  <c r="J64" i="4"/>
  <c r="S64" i="4"/>
  <c r="F64" i="4"/>
  <c r="E64" i="4"/>
  <c r="D64" i="4"/>
  <c r="C5" i="4"/>
  <c r="N5" i="4"/>
  <c r="C17" i="4"/>
  <c r="J17" i="4"/>
  <c r="F17" i="4"/>
  <c r="D17" i="4"/>
  <c r="C29" i="4"/>
  <c r="M29" i="4"/>
  <c r="W29" i="4"/>
  <c r="J29" i="4"/>
  <c r="S29" i="4"/>
  <c r="G29" i="4"/>
  <c r="D29" i="4"/>
  <c r="C41" i="4"/>
  <c r="N41" i="4"/>
  <c r="R41" i="4"/>
  <c r="F41" i="4"/>
  <c r="D41" i="4"/>
  <c r="C53" i="4"/>
  <c r="V53" i="4"/>
  <c r="J53" i="4"/>
  <c r="S53" i="4"/>
  <c r="F53" i="4"/>
  <c r="E53" i="4"/>
  <c r="D53" i="4"/>
  <c r="C65" i="4"/>
  <c r="K65" i="4"/>
  <c r="J65" i="4"/>
  <c r="H65" i="4"/>
  <c r="F65" i="4"/>
  <c r="E65" i="4"/>
  <c r="D65" i="4"/>
  <c r="C2" i="4"/>
  <c r="D3" i="4"/>
  <c r="G4" i="4"/>
  <c r="D7" i="4"/>
  <c r="E11" i="4"/>
  <c r="L22" i="4"/>
  <c r="E25" i="4"/>
  <c r="E40" i="4"/>
  <c r="W69" i="4"/>
  <c r="C33" i="4"/>
  <c r="V33" i="4"/>
  <c r="J33" i="4"/>
  <c r="G33" i="4"/>
  <c r="D33" i="4"/>
  <c r="S81" i="4"/>
  <c r="G81" i="4"/>
  <c r="M81" i="4"/>
  <c r="J81" i="4"/>
  <c r="I81" i="4"/>
  <c r="E81" i="4"/>
  <c r="C81" i="4"/>
  <c r="S105" i="4"/>
  <c r="F105" i="4"/>
  <c r="Q105" i="4"/>
  <c r="E105" i="4"/>
  <c r="K105" i="4"/>
  <c r="J105" i="4"/>
  <c r="D105" i="4"/>
  <c r="C105" i="4"/>
  <c r="O105" i="4"/>
  <c r="Q153" i="4"/>
  <c r="E153" i="4"/>
  <c r="C153" i="4"/>
  <c r="M153" i="4"/>
  <c r="J153" i="4"/>
  <c r="G153" i="4"/>
  <c r="K153" i="4"/>
  <c r="D153" i="4"/>
  <c r="W153" i="4"/>
  <c r="C23" i="4"/>
  <c r="W23" i="4"/>
  <c r="J23" i="4"/>
  <c r="G23" i="4"/>
  <c r="D23" i="4"/>
  <c r="C13" i="4"/>
  <c r="N13" i="4"/>
  <c r="M13" i="4"/>
  <c r="J13" i="4"/>
  <c r="G13" i="4"/>
  <c r="C37" i="4"/>
  <c r="N37" i="4"/>
  <c r="V37" i="4"/>
  <c r="R37" i="4"/>
  <c r="F37" i="4"/>
  <c r="D37" i="4"/>
  <c r="C50" i="4"/>
  <c r="N50" i="4"/>
  <c r="W50" i="4"/>
  <c r="V50" i="4"/>
  <c r="J50" i="4"/>
  <c r="F50" i="4"/>
  <c r="E50" i="4"/>
  <c r="D50" i="4"/>
  <c r="U86" i="4"/>
  <c r="H86" i="4"/>
  <c r="F86" i="4"/>
  <c r="E86" i="4"/>
  <c r="D86" i="4"/>
  <c r="C86" i="4"/>
  <c r="P86" i="4"/>
  <c r="C15" i="4"/>
  <c r="M15" i="4"/>
  <c r="V15" i="4"/>
  <c r="R15" i="4"/>
  <c r="F15" i="4"/>
  <c r="C27" i="4"/>
  <c r="S27" i="4"/>
  <c r="R27" i="4"/>
  <c r="F27" i="4"/>
  <c r="D27" i="4"/>
  <c r="C39" i="4"/>
  <c r="V39" i="4"/>
  <c r="J39" i="4"/>
  <c r="H39" i="4"/>
  <c r="G39" i="4"/>
  <c r="D39" i="4"/>
  <c r="C51" i="4"/>
  <c r="K51" i="4"/>
  <c r="J51" i="4"/>
  <c r="H51" i="4"/>
  <c r="F51" i="4"/>
  <c r="E51" i="4"/>
  <c r="D51" i="4"/>
  <c r="C63" i="4"/>
  <c r="L63" i="4"/>
  <c r="K63" i="4"/>
  <c r="J63" i="4"/>
  <c r="G63" i="4"/>
  <c r="E63" i="4"/>
  <c r="D63" i="4"/>
  <c r="M75" i="4"/>
  <c r="J75" i="4"/>
  <c r="I75" i="4"/>
  <c r="E75" i="4"/>
  <c r="Q75" i="4"/>
  <c r="D75" i="4"/>
  <c r="C75" i="4"/>
  <c r="S87" i="4"/>
  <c r="G87" i="4"/>
  <c r="W87" i="4"/>
  <c r="V87" i="4"/>
  <c r="E87" i="4"/>
  <c r="D87" i="4"/>
  <c r="P87" i="4"/>
  <c r="C87" i="4"/>
  <c r="O87" i="4"/>
  <c r="U111" i="4"/>
  <c r="I111" i="4"/>
  <c r="S111" i="4"/>
  <c r="F111" i="4"/>
  <c r="C111" i="4"/>
  <c r="N111" i="4"/>
  <c r="E111" i="4"/>
  <c r="D111" i="4"/>
  <c r="C18" i="4"/>
  <c r="W18" i="4"/>
  <c r="J18" i="4"/>
  <c r="S18" i="4"/>
  <c r="G18" i="4"/>
  <c r="P18" i="4"/>
  <c r="D18" i="4"/>
  <c r="C30" i="4"/>
  <c r="K30" i="4"/>
  <c r="J30" i="4"/>
  <c r="F30" i="4"/>
  <c r="D30" i="4"/>
  <c r="C42" i="4"/>
  <c r="N42" i="4"/>
  <c r="R42" i="4"/>
  <c r="F42" i="4"/>
  <c r="D42" i="4"/>
  <c r="C54" i="4"/>
  <c r="M54" i="4"/>
  <c r="J54" i="4"/>
  <c r="H54" i="4"/>
  <c r="F54" i="4"/>
  <c r="E54" i="4"/>
  <c r="D54" i="4"/>
  <c r="C66" i="4"/>
  <c r="L66" i="4"/>
  <c r="J66" i="4"/>
  <c r="S66" i="4"/>
  <c r="F66" i="4"/>
  <c r="E66" i="4"/>
  <c r="D66" i="4"/>
  <c r="S78" i="4"/>
  <c r="F78" i="4"/>
  <c r="I78" i="4"/>
  <c r="U78" i="4"/>
  <c r="H78" i="4"/>
  <c r="E78" i="4"/>
  <c r="C78" i="4"/>
  <c r="U90" i="4"/>
  <c r="I90" i="4"/>
  <c r="S90" i="4"/>
  <c r="F90" i="4"/>
  <c r="E90" i="4"/>
  <c r="N90" i="4"/>
  <c r="D90" i="4"/>
  <c r="C90" i="4"/>
  <c r="U102" i="4"/>
  <c r="I102" i="4"/>
  <c r="R102" i="4"/>
  <c r="F102" i="4"/>
  <c r="E102" i="4"/>
  <c r="N102" i="4"/>
  <c r="D102" i="4"/>
  <c r="C102" i="4"/>
  <c r="O102" i="4"/>
  <c r="K114" i="4"/>
  <c r="T114" i="4"/>
  <c r="E114" i="4"/>
  <c r="D114" i="4"/>
  <c r="C114" i="4"/>
  <c r="N114" i="4"/>
  <c r="G114" i="4"/>
  <c r="N126" i="4"/>
  <c r="J126" i="4"/>
  <c r="I126" i="4"/>
  <c r="G126" i="4"/>
  <c r="P126" i="4"/>
  <c r="C126" i="4"/>
  <c r="E126" i="4"/>
  <c r="D126" i="4"/>
  <c r="Q138" i="4"/>
  <c r="E138" i="4"/>
  <c r="C138" i="4"/>
  <c r="J138" i="4"/>
  <c r="S138" i="4"/>
  <c r="D138" i="4"/>
  <c r="W138" i="4"/>
  <c r="G138" i="4"/>
  <c r="Q150" i="4"/>
  <c r="E150" i="4"/>
  <c r="C150" i="4"/>
  <c r="M150" i="4"/>
  <c r="J150" i="4"/>
  <c r="I150" i="4"/>
  <c r="S150" i="4"/>
  <c r="G150" i="4"/>
  <c r="D150" i="4"/>
  <c r="E162" i="4"/>
  <c r="D162" i="4"/>
  <c r="C162" i="4"/>
  <c r="U162" i="4"/>
  <c r="I162" i="4"/>
  <c r="H162" i="4"/>
  <c r="S162" i="4"/>
  <c r="F162" i="4"/>
  <c r="F174" i="4"/>
  <c r="E174" i="4"/>
  <c r="D174" i="4"/>
  <c r="C174" i="4"/>
  <c r="N174" i="4"/>
  <c r="U174" i="4"/>
  <c r="I174" i="4"/>
  <c r="S174" i="4"/>
  <c r="C186" i="4"/>
  <c r="H186" i="4"/>
  <c r="S186" i="4"/>
  <c r="R186" i="4"/>
  <c r="F186" i="4"/>
  <c r="E186" i="4"/>
  <c r="U186" i="4"/>
  <c r="D186" i="4"/>
  <c r="I186" i="4"/>
  <c r="N198" i="4"/>
  <c r="J198" i="4"/>
  <c r="U198" i="4"/>
  <c r="I198" i="4"/>
  <c r="S198" i="4"/>
  <c r="F198" i="4"/>
  <c r="E198" i="4"/>
  <c r="D198" i="4"/>
  <c r="C198" i="4"/>
  <c r="C210" i="4"/>
  <c r="J210" i="4"/>
  <c r="U210" i="4"/>
  <c r="I210" i="4"/>
  <c r="T210" i="4"/>
  <c r="S210" i="4"/>
  <c r="F210" i="4"/>
  <c r="E210" i="4"/>
  <c r="D210" i="4"/>
  <c r="C222" i="4"/>
  <c r="L222" i="4"/>
  <c r="K222" i="4"/>
  <c r="J222" i="4"/>
  <c r="I222" i="4"/>
  <c r="S222" i="4"/>
  <c r="G222" i="4"/>
  <c r="E222" i="4"/>
  <c r="D222" i="4"/>
  <c r="J234" i="4"/>
  <c r="U234" i="4"/>
  <c r="I234" i="4"/>
  <c r="H234" i="4"/>
  <c r="S234" i="4"/>
  <c r="F234" i="4"/>
  <c r="E234" i="4"/>
  <c r="D234" i="4"/>
  <c r="C234" i="4"/>
  <c r="F246" i="4"/>
  <c r="E246" i="4"/>
  <c r="D246" i="4"/>
  <c r="C246" i="4"/>
  <c r="V246" i="4"/>
  <c r="U246" i="4"/>
  <c r="I246" i="4"/>
  <c r="H246" i="4"/>
  <c r="S246" i="4"/>
  <c r="R258" i="4"/>
  <c r="F258" i="4"/>
  <c r="E258" i="4"/>
  <c r="D258" i="4"/>
  <c r="C258" i="4"/>
  <c r="N258" i="4"/>
  <c r="K258" i="4"/>
  <c r="J258" i="4"/>
  <c r="I258" i="4"/>
  <c r="D2" i="4"/>
  <c r="E7" i="4"/>
  <c r="D13" i="4"/>
  <c r="Q17" i="4"/>
  <c r="E23" i="4"/>
  <c r="E30" i="4"/>
  <c r="Q38" i="4"/>
  <c r="U40" i="4"/>
  <c r="I42" i="4"/>
  <c r="C129" i="4"/>
  <c r="W129" i="4"/>
  <c r="S129" i="4"/>
  <c r="F129" i="4"/>
  <c r="E129" i="4"/>
  <c r="D129" i="4"/>
  <c r="V129" i="4"/>
  <c r="U129" i="4"/>
  <c r="C213" i="4"/>
  <c r="N213" i="4"/>
  <c r="J213" i="4"/>
  <c r="I213" i="4"/>
  <c r="H213" i="4"/>
  <c r="F213" i="4"/>
  <c r="E213" i="4"/>
  <c r="D213" i="4"/>
  <c r="C46" i="4"/>
  <c r="J46" i="4"/>
  <c r="S46" i="4"/>
  <c r="F46" i="4"/>
  <c r="D46" i="4"/>
  <c r="R74" i="4"/>
  <c r="F74" i="4"/>
  <c r="K74" i="4"/>
  <c r="V74" i="4"/>
  <c r="I74" i="4"/>
  <c r="U74" i="4"/>
  <c r="E74" i="4"/>
  <c r="C74" i="4"/>
  <c r="U110" i="4"/>
  <c r="I110" i="4"/>
  <c r="H110" i="4"/>
  <c r="S110" i="4"/>
  <c r="F110" i="4"/>
  <c r="C110" i="4"/>
  <c r="D110" i="4"/>
  <c r="M122" i="4"/>
  <c r="D122" i="4"/>
  <c r="C122" i="4"/>
  <c r="I122" i="4"/>
  <c r="H122" i="4"/>
  <c r="T122" i="4"/>
  <c r="F122" i="4"/>
  <c r="E122" i="4"/>
  <c r="M3" i="4"/>
  <c r="J3" i="4"/>
  <c r="C31" i="4"/>
  <c r="H31" i="4"/>
  <c r="S31" i="4"/>
  <c r="F31" i="4"/>
  <c r="D31" i="4"/>
  <c r="C43" i="4"/>
  <c r="L43" i="4"/>
  <c r="J43" i="4"/>
  <c r="G43" i="4"/>
  <c r="D43" i="4"/>
  <c r="C67" i="4"/>
  <c r="L67" i="4"/>
  <c r="M67" i="4"/>
  <c r="W67" i="4"/>
  <c r="J67" i="4"/>
  <c r="G67" i="4"/>
  <c r="E67" i="4"/>
  <c r="D67" i="4"/>
  <c r="U103" i="4"/>
  <c r="I103" i="4"/>
  <c r="S103" i="4"/>
  <c r="F103" i="4"/>
  <c r="E103" i="4"/>
  <c r="K103" i="4"/>
  <c r="P103" i="4"/>
  <c r="D103" i="4"/>
  <c r="C103" i="4"/>
  <c r="J127" i="4"/>
  <c r="I127" i="4"/>
  <c r="H127" i="4"/>
  <c r="E127" i="4"/>
  <c r="D127" i="4"/>
  <c r="C127" i="4"/>
  <c r="G127" i="4"/>
  <c r="S127" i="4"/>
  <c r="E139" i="4"/>
  <c r="C139" i="4"/>
  <c r="J139" i="4"/>
  <c r="W139" i="4"/>
  <c r="G139" i="4"/>
  <c r="S139" i="4"/>
  <c r="P139" i="4"/>
  <c r="D139" i="4"/>
  <c r="E151" i="4"/>
  <c r="C151" i="4"/>
  <c r="J151" i="4"/>
  <c r="U151" i="4"/>
  <c r="I151" i="4"/>
  <c r="H151" i="4"/>
  <c r="F151" i="4"/>
  <c r="D151" i="4"/>
  <c r="E163" i="4"/>
  <c r="D163" i="4"/>
  <c r="C163" i="4"/>
  <c r="N163" i="4"/>
  <c r="U163" i="4"/>
  <c r="I163" i="4"/>
  <c r="R163" i="4"/>
  <c r="F163" i="4"/>
  <c r="M175" i="4"/>
  <c r="E175" i="4"/>
  <c r="D175" i="4"/>
  <c r="C175" i="4"/>
  <c r="J175" i="4"/>
  <c r="I175" i="4"/>
  <c r="G175" i="4"/>
  <c r="T175" i="4"/>
  <c r="L175" i="4"/>
  <c r="N187" i="4"/>
  <c r="E187" i="4"/>
  <c r="D187" i="4"/>
  <c r="P187" i="4"/>
  <c r="C187" i="4"/>
  <c r="J187" i="4"/>
  <c r="K187" i="4"/>
  <c r="F187" i="4"/>
  <c r="C199" i="4"/>
  <c r="J199" i="4"/>
  <c r="U199" i="4"/>
  <c r="I199" i="4"/>
  <c r="H199" i="4"/>
  <c r="S199" i="4"/>
  <c r="F199" i="4"/>
  <c r="E199" i="4"/>
  <c r="D199" i="4"/>
  <c r="C211" i="4"/>
  <c r="J211" i="4"/>
  <c r="U211" i="4"/>
  <c r="I211" i="4"/>
  <c r="H211" i="4"/>
  <c r="S211" i="4"/>
  <c r="F211" i="4"/>
  <c r="E211" i="4"/>
  <c r="D211" i="4"/>
  <c r="C223" i="4"/>
  <c r="W223" i="4"/>
  <c r="K223" i="4"/>
  <c r="J223" i="4"/>
  <c r="G223" i="4"/>
  <c r="E223" i="4"/>
  <c r="D223" i="4"/>
  <c r="P223" i="4"/>
  <c r="N235" i="4"/>
  <c r="W235" i="4"/>
  <c r="U235" i="4"/>
  <c r="H235" i="4"/>
  <c r="F235" i="4"/>
  <c r="R235" i="4"/>
  <c r="E235" i="4"/>
  <c r="D235" i="4"/>
  <c r="C235" i="4"/>
  <c r="F247" i="4"/>
  <c r="E247" i="4"/>
  <c r="D247" i="4"/>
  <c r="C247" i="4"/>
  <c r="N247" i="4"/>
  <c r="K247" i="4"/>
  <c r="U247" i="4"/>
  <c r="I247" i="4"/>
  <c r="S247" i="4"/>
  <c r="F259" i="4"/>
  <c r="E259" i="4"/>
  <c r="D259" i="4"/>
  <c r="C259" i="4"/>
  <c r="N259" i="4"/>
  <c r="L259" i="4"/>
  <c r="K259" i="4"/>
  <c r="V259" i="4"/>
  <c r="U259" i="4"/>
  <c r="I4" i="4"/>
  <c r="D6" i="4"/>
  <c r="F7" i="4"/>
  <c r="D10" i="4"/>
  <c r="E13" i="4"/>
  <c r="D15" i="4"/>
  <c r="E21" i="4"/>
  <c r="I27" i="4"/>
  <c r="U30" i="4"/>
  <c r="Q33" i="4"/>
  <c r="E35" i="4"/>
  <c r="I37" i="4"/>
  <c r="E45" i="4"/>
  <c r="U61" i="4"/>
  <c r="I64" i="4"/>
  <c r="E110" i="4"/>
  <c r="M177" i="4"/>
  <c r="F177" i="4"/>
  <c r="E177" i="4"/>
  <c r="D177" i="4"/>
  <c r="C177" i="4"/>
  <c r="J177" i="4"/>
  <c r="I177" i="4"/>
  <c r="U177" i="4"/>
  <c r="C34" i="4"/>
  <c r="J34" i="4"/>
  <c r="G34" i="4"/>
  <c r="P34" i="4"/>
  <c r="D34" i="4"/>
  <c r="C25" i="4"/>
  <c r="M25" i="4"/>
  <c r="R25" i="4"/>
  <c r="F25" i="4"/>
  <c r="D25" i="4"/>
  <c r="B4" i="7"/>
  <c r="C14" i="4"/>
  <c r="N14" i="4"/>
  <c r="T14" i="4"/>
  <c r="F14" i="4"/>
  <c r="C7" i="4"/>
  <c r="M7" i="4"/>
  <c r="C19" i="4"/>
  <c r="J19" i="4"/>
  <c r="H19" i="4"/>
  <c r="F19" i="4"/>
  <c r="D19" i="4"/>
  <c r="C55" i="4"/>
  <c r="J55" i="4"/>
  <c r="H55" i="4"/>
  <c r="F55" i="4"/>
  <c r="Q55" i="4"/>
  <c r="E55" i="4"/>
  <c r="D55" i="4"/>
  <c r="S79" i="4"/>
  <c r="F79" i="4"/>
  <c r="K79" i="4"/>
  <c r="J79" i="4"/>
  <c r="U79" i="4"/>
  <c r="E79" i="4"/>
  <c r="D79" i="4"/>
  <c r="C79" i="4"/>
  <c r="I91" i="4"/>
  <c r="G91" i="4"/>
  <c r="E91" i="4"/>
  <c r="K91" i="4"/>
  <c r="J91" i="4"/>
  <c r="P91" i="4"/>
  <c r="D91" i="4"/>
  <c r="C91" i="4"/>
  <c r="U115" i="4"/>
  <c r="I115" i="4"/>
  <c r="E115" i="4"/>
  <c r="D115" i="4"/>
  <c r="C115" i="4"/>
  <c r="S115" i="4"/>
  <c r="F115" i="4"/>
  <c r="R115" i="4"/>
  <c r="C8" i="4"/>
  <c r="J8" i="4"/>
  <c r="C20" i="4"/>
  <c r="J20" i="4"/>
  <c r="S20" i="4"/>
  <c r="G20" i="4"/>
  <c r="D20" i="4"/>
  <c r="C32" i="4"/>
  <c r="M32" i="4"/>
  <c r="J32" i="4"/>
  <c r="G32" i="4"/>
  <c r="D32" i="4"/>
  <c r="C44" i="4"/>
  <c r="V44" i="4"/>
  <c r="T44" i="4"/>
  <c r="F44" i="4"/>
  <c r="D44" i="4"/>
  <c r="C56" i="4"/>
  <c r="M56" i="4"/>
  <c r="W56" i="4"/>
  <c r="V56" i="4"/>
  <c r="G56" i="4"/>
  <c r="E56" i="4"/>
  <c r="P56" i="4"/>
  <c r="D56" i="4"/>
  <c r="P68" i="4"/>
  <c r="D68" i="4"/>
  <c r="C68" i="4"/>
  <c r="W68" i="4"/>
  <c r="U68" i="4"/>
  <c r="S68" i="4"/>
  <c r="F68" i="4"/>
  <c r="E68" i="4"/>
  <c r="S80" i="4"/>
  <c r="F80" i="4"/>
  <c r="E80" i="4"/>
  <c r="C80" i="4"/>
  <c r="D80" i="4"/>
  <c r="I80" i="4"/>
  <c r="U80" i="4"/>
  <c r="H80" i="4"/>
  <c r="I92" i="4"/>
  <c r="G92" i="4"/>
  <c r="F92" i="4"/>
  <c r="Q92" i="4"/>
  <c r="E92" i="4"/>
  <c r="N92" i="4"/>
  <c r="J92" i="4"/>
  <c r="D92" i="4"/>
  <c r="C92" i="4"/>
  <c r="U104" i="4"/>
  <c r="I104" i="4"/>
  <c r="S104" i="4"/>
  <c r="F104" i="4"/>
  <c r="Q104" i="4"/>
  <c r="E104" i="4"/>
  <c r="C104" i="4"/>
  <c r="P104" i="4"/>
  <c r="L116" i="4"/>
  <c r="U116" i="4"/>
  <c r="I116" i="4"/>
  <c r="H116" i="4"/>
  <c r="E116" i="4"/>
  <c r="D116" i="4"/>
  <c r="C116" i="4"/>
  <c r="F116" i="4"/>
  <c r="S116" i="4"/>
  <c r="M128" i="4"/>
  <c r="J128" i="4"/>
  <c r="I128" i="4"/>
  <c r="S128" i="4"/>
  <c r="E128" i="4"/>
  <c r="D128" i="4"/>
  <c r="C128" i="4"/>
  <c r="G128" i="4"/>
  <c r="E140" i="4"/>
  <c r="C140" i="4"/>
  <c r="N140" i="4"/>
  <c r="J140" i="4"/>
  <c r="K140" i="4"/>
  <c r="U140" i="4"/>
  <c r="F140" i="4"/>
  <c r="D140" i="4"/>
  <c r="W140" i="4"/>
  <c r="E152" i="4"/>
  <c r="C152" i="4"/>
  <c r="U152" i="4"/>
  <c r="I152" i="4"/>
  <c r="H152" i="4"/>
  <c r="S152" i="4"/>
  <c r="D152" i="4"/>
  <c r="F152" i="4"/>
  <c r="E164" i="4"/>
  <c r="D164" i="4"/>
  <c r="C164" i="4"/>
  <c r="J164" i="4"/>
  <c r="I164" i="4"/>
  <c r="H164" i="4"/>
  <c r="F164" i="4"/>
  <c r="K164" i="4"/>
  <c r="F176" i="4"/>
  <c r="E176" i="4"/>
  <c r="D176" i="4"/>
  <c r="C176" i="4"/>
  <c r="L176" i="4"/>
  <c r="K176" i="4"/>
  <c r="U176" i="4"/>
  <c r="I176" i="4"/>
  <c r="H176" i="4"/>
  <c r="H188" i="4"/>
  <c r="S188" i="4"/>
  <c r="F188" i="4"/>
  <c r="E188" i="4"/>
  <c r="D188" i="4"/>
  <c r="J188" i="4"/>
  <c r="I188" i="4"/>
  <c r="U188" i="4"/>
  <c r="C188" i="4"/>
  <c r="C200" i="4"/>
  <c r="N200" i="4"/>
  <c r="W200" i="4"/>
  <c r="K200" i="4"/>
  <c r="U200" i="4"/>
  <c r="F200" i="4"/>
  <c r="D200" i="4"/>
  <c r="E200" i="4"/>
  <c r="C212" i="4"/>
  <c r="N212" i="4"/>
  <c r="U212" i="4"/>
  <c r="I212" i="4"/>
  <c r="S212" i="4"/>
  <c r="F212" i="4"/>
  <c r="E212" i="4"/>
  <c r="D212" i="4"/>
  <c r="C224" i="4"/>
  <c r="W224" i="4"/>
  <c r="J224" i="4"/>
  <c r="S224" i="4"/>
  <c r="G224" i="4"/>
  <c r="Q224" i="4"/>
  <c r="E224" i="4"/>
  <c r="D224" i="4"/>
  <c r="P224" i="4"/>
  <c r="L236" i="4"/>
  <c r="Q236" i="4"/>
  <c r="D236" i="4"/>
  <c r="P236" i="4"/>
  <c r="C236" i="4"/>
  <c r="V236" i="4"/>
  <c r="F236" i="4"/>
  <c r="E236" i="4"/>
  <c r="F248" i="4"/>
  <c r="E248" i="4"/>
  <c r="D248" i="4"/>
  <c r="C248" i="4"/>
  <c r="N248" i="4"/>
  <c r="W248" i="4"/>
  <c r="K248" i="4"/>
  <c r="J248" i="4"/>
  <c r="U248" i="4"/>
  <c r="R260" i="4"/>
  <c r="F260" i="4"/>
  <c r="E260" i="4"/>
  <c r="D260" i="4"/>
  <c r="C260" i="4"/>
  <c r="L260" i="4"/>
  <c r="U260" i="4"/>
  <c r="I260" i="4"/>
  <c r="S260" i="4"/>
  <c r="F2" i="4"/>
  <c r="R2" i="4"/>
  <c r="G3" i="4"/>
  <c r="E6" i="4"/>
  <c r="K8" i="4"/>
  <c r="E10" i="4"/>
  <c r="I11" i="4"/>
  <c r="E15" i="4"/>
  <c r="E17" i="4"/>
  <c r="U19" i="4"/>
  <c r="I25" i="4"/>
  <c r="U35" i="4"/>
  <c r="E38" i="4"/>
  <c r="I40" i="4"/>
  <c r="E43" i="4"/>
  <c r="U53" i="4"/>
  <c r="G75" i="4"/>
  <c r="I79" i="4"/>
  <c r="C98" i="4"/>
  <c r="F249" i="4"/>
  <c r="E249" i="4"/>
  <c r="D249" i="4"/>
  <c r="C249" i="4"/>
  <c r="N249" i="4"/>
  <c r="U249" i="4"/>
  <c r="I249" i="4"/>
  <c r="S249" i="4"/>
  <c r="R261" i="4"/>
  <c r="F261" i="4"/>
  <c r="E261" i="4"/>
  <c r="P261" i="4"/>
  <c r="D261" i="4"/>
  <c r="C261" i="4"/>
  <c r="N261" i="4"/>
  <c r="U261" i="4"/>
  <c r="I261" i="4"/>
  <c r="F6" i="4"/>
  <c r="H7" i="4"/>
  <c r="U7" i="4"/>
  <c r="F10" i="4"/>
  <c r="I19" i="4"/>
  <c r="I30" i="4"/>
  <c r="E33" i="4"/>
  <c r="I35" i="4"/>
  <c r="I57" i="4"/>
  <c r="I65" i="4"/>
  <c r="C58" i="4"/>
  <c r="V58" i="4"/>
  <c r="J58" i="4"/>
  <c r="G58" i="4"/>
  <c r="E58" i="4"/>
  <c r="P58" i="4"/>
  <c r="D58" i="4"/>
  <c r="E70" i="4"/>
  <c r="C70" i="4"/>
  <c r="P70" i="4"/>
  <c r="D70" i="4"/>
  <c r="W70" i="4"/>
  <c r="K70" i="4"/>
  <c r="J70" i="4"/>
  <c r="G70" i="4"/>
  <c r="S82" i="4"/>
  <c r="F82" i="4"/>
  <c r="L82" i="4"/>
  <c r="J82" i="4"/>
  <c r="C82" i="4"/>
  <c r="I82" i="4"/>
  <c r="E82" i="4"/>
  <c r="D82" i="4"/>
  <c r="U94" i="4"/>
  <c r="I94" i="4"/>
  <c r="T94" i="4"/>
  <c r="H94" i="4"/>
  <c r="F94" i="4"/>
  <c r="E94" i="4"/>
  <c r="D94" i="4"/>
  <c r="C94" i="4"/>
  <c r="U106" i="4"/>
  <c r="I106" i="4"/>
  <c r="F106" i="4"/>
  <c r="E106" i="4"/>
  <c r="N106" i="4"/>
  <c r="M106" i="4"/>
  <c r="D106" i="4"/>
  <c r="C106" i="4"/>
  <c r="M118" i="4"/>
  <c r="W118" i="4"/>
  <c r="J118" i="4"/>
  <c r="E118" i="4"/>
  <c r="Q118" i="4"/>
  <c r="D118" i="4"/>
  <c r="C118" i="4"/>
  <c r="G118" i="4"/>
  <c r="P130" i="4"/>
  <c r="D130" i="4"/>
  <c r="C130" i="4"/>
  <c r="G130" i="4"/>
  <c r="E130" i="4"/>
  <c r="K130" i="4"/>
  <c r="W130" i="4"/>
  <c r="J130" i="4"/>
  <c r="E142" i="4"/>
  <c r="C142" i="4"/>
  <c r="W142" i="4"/>
  <c r="U142" i="4"/>
  <c r="R142" i="4"/>
  <c r="F142" i="4"/>
  <c r="D142" i="4"/>
  <c r="S142" i="4"/>
  <c r="Q154" i="4"/>
  <c r="E154" i="4"/>
  <c r="C154" i="4"/>
  <c r="M154" i="4"/>
  <c r="J154" i="4"/>
  <c r="G154" i="4"/>
  <c r="W154" i="4"/>
  <c r="D154" i="4"/>
  <c r="E166" i="4"/>
  <c r="D166" i="4"/>
  <c r="C166" i="4"/>
  <c r="U166" i="4"/>
  <c r="I166" i="4"/>
  <c r="F166" i="4"/>
  <c r="R166" i="4"/>
  <c r="L166" i="4"/>
  <c r="K166" i="4"/>
  <c r="H178" i="4"/>
  <c r="S178" i="4"/>
  <c r="F178" i="4"/>
  <c r="E178" i="4"/>
  <c r="P178" i="4"/>
  <c r="D178" i="4"/>
  <c r="I178" i="4"/>
  <c r="U178" i="4"/>
  <c r="C178" i="4"/>
  <c r="L190" i="4"/>
  <c r="J190" i="4"/>
  <c r="I190" i="4"/>
  <c r="U190" i="4"/>
  <c r="E190" i="4"/>
  <c r="D190" i="4"/>
  <c r="C190" i="4"/>
  <c r="F190" i="4"/>
  <c r="S190" i="4"/>
  <c r="C202" i="4"/>
  <c r="N202" i="4"/>
  <c r="U202" i="4"/>
  <c r="I202" i="4"/>
  <c r="H202" i="4"/>
  <c r="S202" i="4"/>
  <c r="F202" i="4"/>
  <c r="D202" i="4"/>
  <c r="E202" i="4"/>
  <c r="C214" i="4"/>
  <c r="J214" i="4"/>
  <c r="U214" i="4"/>
  <c r="I214" i="4"/>
  <c r="H214" i="4"/>
  <c r="S214" i="4"/>
  <c r="F214" i="4"/>
  <c r="E214" i="4"/>
  <c r="D214" i="4"/>
  <c r="P226" i="4"/>
  <c r="D226" i="4"/>
  <c r="C226" i="4"/>
  <c r="N226" i="4"/>
  <c r="K226" i="4"/>
  <c r="U226" i="4"/>
  <c r="I226" i="4"/>
  <c r="F226" i="4"/>
  <c r="E226" i="4"/>
  <c r="E238" i="4"/>
  <c r="C238" i="4"/>
  <c r="L238" i="4"/>
  <c r="J238" i="4"/>
  <c r="K238" i="4"/>
  <c r="I238" i="4"/>
  <c r="H238" i="4"/>
  <c r="G238" i="4"/>
  <c r="D238" i="4"/>
  <c r="F250" i="4"/>
  <c r="E250" i="4"/>
  <c r="D250" i="4"/>
  <c r="C250" i="4"/>
  <c r="N250" i="4"/>
  <c r="V250" i="4"/>
  <c r="U250" i="4"/>
  <c r="I250" i="4"/>
  <c r="S250" i="4"/>
  <c r="R262" i="4"/>
  <c r="E262" i="4"/>
  <c r="P262" i="4"/>
  <c r="D262" i="4"/>
  <c r="C262" i="4"/>
  <c r="N262" i="4"/>
  <c r="J262" i="4"/>
  <c r="I262" i="4"/>
  <c r="G262" i="4"/>
  <c r="W3" i="4"/>
  <c r="D5" i="4"/>
  <c r="S6" i="4"/>
  <c r="I7" i="4"/>
  <c r="I13" i="4"/>
  <c r="U17" i="4"/>
  <c r="I21" i="4"/>
  <c r="E28" i="4"/>
  <c r="E41" i="4"/>
  <c r="U49" i="4"/>
  <c r="I53" i="4"/>
  <c r="I61" i="4"/>
  <c r="U66" i="4"/>
  <c r="D81" i="4"/>
  <c r="N45" i="4"/>
  <c r="F45" i="4"/>
  <c r="D45" i="4"/>
  <c r="W117" i="4"/>
  <c r="U117" i="4"/>
  <c r="E117" i="4"/>
  <c r="P117" i="4"/>
  <c r="D117" i="4"/>
  <c r="C117" i="4"/>
  <c r="N117" i="4"/>
  <c r="F117" i="4"/>
  <c r="J237" i="4"/>
  <c r="F237" i="4"/>
  <c r="R237" i="4"/>
  <c r="E237" i="4"/>
  <c r="D237" i="4"/>
  <c r="C237" i="4"/>
  <c r="K237" i="4"/>
  <c r="I237" i="4"/>
  <c r="U237" i="4"/>
  <c r="C47" i="4"/>
  <c r="N47" i="4"/>
  <c r="K47" i="4"/>
  <c r="V47" i="4"/>
  <c r="G47" i="4"/>
  <c r="E47" i="4"/>
  <c r="D47" i="4"/>
  <c r="C59" i="4"/>
  <c r="K59" i="4"/>
  <c r="R59" i="4"/>
  <c r="F59" i="4"/>
  <c r="E59" i="4"/>
  <c r="D59" i="4"/>
  <c r="S71" i="4"/>
  <c r="F71" i="4"/>
  <c r="E71" i="4"/>
  <c r="D71" i="4"/>
  <c r="O71" i="4"/>
  <c r="C71" i="4"/>
  <c r="V71" i="4"/>
  <c r="U71" i="4"/>
  <c r="R83" i="4"/>
  <c r="F83" i="4"/>
  <c r="I83" i="4"/>
  <c r="U83" i="4"/>
  <c r="H83" i="4"/>
  <c r="E83" i="4"/>
  <c r="D83" i="4"/>
  <c r="U95" i="4"/>
  <c r="I95" i="4"/>
  <c r="S95" i="4"/>
  <c r="F95" i="4"/>
  <c r="E95" i="4"/>
  <c r="L95" i="4"/>
  <c r="J95" i="4"/>
  <c r="D95" i="4"/>
  <c r="C95" i="4"/>
  <c r="I107" i="4"/>
  <c r="F107" i="4"/>
  <c r="Q107" i="4"/>
  <c r="E107" i="4"/>
  <c r="K107" i="4"/>
  <c r="J107" i="4"/>
  <c r="C107" i="4"/>
  <c r="M119" i="4"/>
  <c r="K119" i="4"/>
  <c r="J119" i="4"/>
  <c r="I119" i="4"/>
  <c r="E119" i="4"/>
  <c r="D119" i="4"/>
  <c r="C119" i="4"/>
  <c r="G119" i="4"/>
  <c r="N131" i="4"/>
  <c r="R131" i="4"/>
  <c r="E131" i="4"/>
  <c r="D131" i="4"/>
  <c r="C131" i="4"/>
  <c r="I131" i="4"/>
  <c r="U131" i="4"/>
  <c r="F131" i="4"/>
  <c r="Q143" i="4"/>
  <c r="E143" i="4"/>
  <c r="C143" i="4"/>
  <c r="M143" i="4"/>
  <c r="J143" i="4"/>
  <c r="W143" i="4"/>
  <c r="G143" i="4"/>
  <c r="D143" i="4"/>
  <c r="K143" i="4"/>
  <c r="N191" i="4"/>
  <c r="V191" i="4"/>
  <c r="P191" i="4"/>
  <c r="C191" i="4"/>
  <c r="K191" i="4"/>
  <c r="G191" i="4"/>
  <c r="E191" i="4"/>
  <c r="W191" i="4"/>
  <c r="D191" i="4"/>
  <c r="R239" i="4"/>
  <c r="F239" i="4"/>
  <c r="E239" i="4"/>
  <c r="D239" i="4"/>
  <c r="C239" i="4"/>
  <c r="K239" i="4"/>
  <c r="J239" i="4"/>
  <c r="U239" i="4"/>
  <c r="I239" i="4"/>
  <c r="R263" i="4"/>
  <c r="F263" i="4"/>
  <c r="E263" i="4"/>
  <c r="D263" i="4"/>
  <c r="C263" i="4"/>
  <c r="N263" i="4"/>
  <c r="U263" i="4"/>
  <c r="S263" i="4"/>
  <c r="I15" i="4"/>
  <c r="L23" i="4"/>
  <c r="E26" i="4"/>
  <c r="E31" i="4"/>
  <c r="Q34" i="4"/>
  <c r="I38" i="4"/>
  <c r="I43" i="4"/>
  <c r="I58" i="4"/>
  <c r="E155" i="4"/>
  <c r="O155" i="4"/>
  <c r="C155" i="4"/>
  <c r="N155" i="4"/>
  <c r="U155" i="4"/>
  <c r="I155" i="4"/>
  <c r="S155" i="4"/>
  <c r="F155" i="4"/>
  <c r="D155" i="4"/>
  <c r="Q167" i="4"/>
  <c r="E167" i="4"/>
  <c r="D167" i="4"/>
  <c r="O167" i="4"/>
  <c r="C167" i="4"/>
  <c r="S167" i="4"/>
  <c r="G167" i="4"/>
  <c r="W167" i="4"/>
  <c r="N179" i="4"/>
  <c r="U179" i="4"/>
  <c r="H179" i="4"/>
  <c r="S179" i="4"/>
  <c r="F179" i="4"/>
  <c r="E179" i="4"/>
  <c r="D179" i="4"/>
  <c r="I179" i="4"/>
  <c r="C179" i="4"/>
  <c r="C203" i="4"/>
  <c r="K203" i="4"/>
  <c r="U203" i="4"/>
  <c r="I203" i="4"/>
  <c r="H203" i="4"/>
  <c r="S203" i="4"/>
  <c r="F203" i="4"/>
  <c r="E203" i="4"/>
  <c r="D203" i="4"/>
  <c r="C215" i="4"/>
  <c r="N215" i="4"/>
  <c r="K215" i="4"/>
  <c r="U215" i="4"/>
  <c r="I215" i="4"/>
  <c r="H215" i="4"/>
  <c r="F215" i="4"/>
  <c r="E215" i="4"/>
  <c r="D215" i="4"/>
  <c r="E227" i="4"/>
  <c r="D227" i="4"/>
  <c r="C227" i="4"/>
  <c r="N227" i="4"/>
  <c r="U227" i="4"/>
  <c r="I227" i="4"/>
  <c r="S227" i="4"/>
  <c r="R227" i="4"/>
  <c r="F227" i="4"/>
  <c r="R251" i="4"/>
  <c r="F251" i="4"/>
  <c r="E251" i="4"/>
  <c r="D251" i="4"/>
  <c r="C251" i="4"/>
  <c r="N251" i="4"/>
  <c r="U251" i="4"/>
  <c r="I251" i="4"/>
  <c r="H251" i="4"/>
  <c r="I2" i="4"/>
  <c r="U2" i="4"/>
  <c r="D9" i="4"/>
  <c r="U10" i="4"/>
  <c r="C12" i="4"/>
  <c r="V12" i="4"/>
  <c r="S12" i="4"/>
  <c r="F12" i="4"/>
  <c r="C24" i="4"/>
  <c r="N24" i="4"/>
  <c r="K24" i="4"/>
  <c r="J24" i="4"/>
  <c r="F24" i="4"/>
  <c r="D24" i="4"/>
  <c r="C36" i="4"/>
  <c r="J36" i="4"/>
  <c r="S36" i="4"/>
  <c r="F36" i="4"/>
  <c r="P36" i="4"/>
  <c r="D36" i="4"/>
  <c r="C48" i="4"/>
  <c r="W48" i="4"/>
  <c r="K48" i="4"/>
  <c r="V48" i="4"/>
  <c r="G48" i="4"/>
  <c r="Q48" i="4"/>
  <c r="E48" i="4"/>
  <c r="D48" i="4"/>
  <c r="C60" i="4"/>
  <c r="J60" i="4"/>
  <c r="S60" i="4"/>
  <c r="F60" i="4"/>
  <c r="E60" i="4"/>
  <c r="D60" i="4"/>
  <c r="G72" i="4"/>
  <c r="E72" i="4"/>
  <c r="P72" i="4"/>
  <c r="D72" i="4"/>
  <c r="C72" i="4"/>
  <c r="M72" i="4"/>
  <c r="W72" i="4"/>
  <c r="J72" i="4"/>
  <c r="H84" i="4"/>
  <c r="F84" i="4"/>
  <c r="M84" i="4"/>
  <c r="J84" i="4"/>
  <c r="E84" i="4"/>
  <c r="D84" i="4"/>
  <c r="C84" i="4"/>
  <c r="U96" i="4"/>
  <c r="I96" i="4"/>
  <c r="S96" i="4"/>
  <c r="F96" i="4"/>
  <c r="E96" i="4"/>
  <c r="K96" i="4"/>
  <c r="D96" i="4"/>
  <c r="C96" i="4"/>
  <c r="M108" i="4"/>
  <c r="S108" i="4"/>
  <c r="F108" i="4"/>
  <c r="E108" i="4"/>
  <c r="W108" i="4"/>
  <c r="J108" i="4"/>
  <c r="D108" i="4"/>
  <c r="C108" i="4"/>
  <c r="N120" i="4"/>
  <c r="F120" i="4"/>
  <c r="E120" i="4"/>
  <c r="D120" i="4"/>
  <c r="C120" i="4"/>
  <c r="I120" i="4"/>
  <c r="U120" i="4"/>
  <c r="H120" i="4"/>
  <c r="M132" i="4"/>
  <c r="G132" i="4"/>
  <c r="S132" i="4"/>
  <c r="E132" i="4"/>
  <c r="Q132" i="4"/>
  <c r="D132" i="4"/>
  <c r="C132" i="4"/>
  <c r="J132" i="4"/>
  <c r="I132" i="4"/>
  <c r="E144" i="4"/>
  <c r="C144" i="4"/>
  <c r="N144" i="4"/>
  <c r="V144" i="4"/>
  <c r="I144" i="4"/>
  <c r="F144" i="4"/>
  <c r="R144" i="4"/>
  <c r="D144" i="4"/>
  <c r="E156" i="4"/>
  <c r="C156" i="4"/>
  <c r="J156" i="4"/>
  <c r="S156" i="4"/>
  <c r="G156" i="4"/>
  <c r="L156" i="4"/>
  <c r="W156" i="4"/>
  <c r="D156" i="4"/>
  <c r="M168" i="4"/>
  <c r="E168" i="4"/>
  <c r="D168" i="4"/>
  <c r="C168" i="4"/>
  <c r="N168" i="4"/>
  <c r="V168" i="4"/>
  <c r="I168" i="4"/>
  <c r="F168" i="4"/>
  <c r="M180" i="4"/>
  <c r="I180" i="4"/>
  <c r="U180" i="4"/>
  <c r="H180" i="4"/>
  <c r="S180" i="4"/>
  <c r="F180" i="4"/>
  <c r="C180" i="4"/>
  <c r="D180" i="4"/>
  <c r="E180" i="4"/>
  <c r="N192" i="4"/>
  <c r="S192" i="4"/>
  <c r="F192" i="4"/>
  <c r="R192" i="4"/>
  <c r="E192" i="4"/>
  <c r="D192" i="4"/>
  <c r="C192" i="4"/>
  <c r="I192" i="4"/>
  <c r="U192" i="4"/>
  <c r="C204" i="4"/>
  <c r="W204" i="4"/>
  <c r="K204" i="4"/>
  <c r="V204" i="4"/>
  <c r="S204" i="4"/>
  <c r="G204" i="4"/>
  <c r="E204" i="4"/>
  <c r="D204" i="4"/>
  <c r="C216" i="4"/>
  <c r="W216" i="4"/>
  <c r="J216" i="4"/>
  <c r="S216" i="4"/>
  <c r="G216" i="4"/>
  <c r="Q216" i="4"/>
  <c r="E216" i="4"/>
  <c r="D216" i="4"/>
  <c r="N228" i="4"/>
  <c r="S228" i="4"/>
  <c r="F228" i="4"/>
  <c r="E228" i="4"/>
  <c r="D228" i="4"/>
  <c r="P228" i="4"/>
  <c r="C228" i="4"/>
  <c r="I228" i="4"/>
  <c r="U228" i="4"/>
  <c r="F240" i="4"/>
  <c r="E240" i="4"/>
  <c r="D240" i="4"/>
  <c r="C240" i="4"/>
  <c r="N240" i="4"/>
  <c r="J240" i="4"/>
  <c r="U240" i="4"/>
  <c r="I240" i="4"/>
  <c r="H240" i="4"/>
  <c r="F252" i="4"/>
  <c r="E252" i="4"/>
  <c r="D252" i="4"/>
  <c r="C252" i="4"/>
  <c r="N252" i="4"/>
  <c r="K252" i="4"/>
  <c r="U252" i="4"/>
  <c r="I252" i="4"/>
  <c r="H252" i="4"/>
  <c r="F264" i="4"/>
  <c r="Q264" i="4"/>
  <c r="E264" i="4"/>
  <c r="D264" i="4"/>
  <c r="C264" i="4"/>
  <c r="W264" i="4"/>
  <c r="V264" i="4"/>
  <c r="S264" i="4"/>
  <c r="L3" i="4"/>
  <c r="F5" i="4"/>
  <c r="S5" i="4"/>
  <c r="I6" i="4"/>
  <c r="U6" i="4"/>
  <c r="E9" i="4"/>
  <c r="I10" i="4"/>
  <c r="E12" i="4"/>
  <c r="D14" i="4"/>
  <c r="E22" i="4"/>
  <c r="E24" i="4"/>
  <c r="U24" i="4"/>
  <c r="U31" i="4"/>
  <c r="I33" i="4"/>
  <c r="E36" i="4"/>
  <c r="U36" i="4"/>
  <c r="I49" i="4"/>
  <c r="I54" i="4"/>
  <c r="U59" i="4"/>
  <c r="I86" i="4"/>
  <c r="D107" i="4"/>
  <c r="D76" i="4"/>
  <c r="U77" i="4"/>
  <c r="C100" i="4"/>
  <c r="D112" i="4"/>
  <c r="S113" i="4"/>
  <c r="E76" i="4"/>
  <c r="I77" i="4"/>
  <c r="J77" i="4"/>
  <c r="C88" i="4"/>
  <c r="H76" i="4"/>
  <c r="D88" i="4"/>
  <c r="I76" i="4"/>
  <c r="U76" i="4"/>
  <c r="E145" i="4"/>
  <c r="C145" i="4"/>
  <c r="N145" i="4"/>
  <c r="U145" i="4"/>
  <c r="I145" i="4"/>
  <c r="F145" i="4"/>
  <c r="D145" i="4"/>
  <c r="E157" i="4"/>
  <c r="C157" i="4"/>
  <c r="N157" i="4"/>
  <c r="V157" i="4"/>
  <c r="I157" i="4"/>
  <c r="P157" i="4"/>
  <c r="F157" i="4"/>
  <c r="D157" i="4"/>
  <c r="F169" i="4"/>
  <c r="E169" i="4"/>
  <c r="D169" i="4"/>
  <c r="C169" i="4"/>
  <c r="N169" i="4"/>
  <c r="U169" i="4"/>
  <c r="I169" i="4"/>
  <c r="S169" i="4"/>
  <c r="N181" i="4"/>
  <c r="I181" i="4"/>
  <c r="U181" i="4"/>
  <c r="R181" i="4"/>
  <c r="E181" i="4"/>
  <c r="D181" i="4"/>
  <c r="C181" i="4"/>
  <c r="F181" i="4"/>
  <c r="M193" i="4"/>
  <c r="I193" i="4"/>
  <c r="H193" i="4"/>
  <c r="F193" i="4"/>
  <c r="C193" i="4"/>
  <c r="E193" i="4"/>
  <c r="D193" i="4"/>
  <c r="K193" i="4"/>
  <c r="C205" i="4"/>
  <c r="N205" i="4"/>
  <c r="M205" i="4"/>
  <c r="U205" i="4"/>
  <c r="I205" i="4"/>
  <c r="S205" i="4"/>
  <c r="F205" i="4"/>
  <c r="E205" i="4"/>
  <c r="D205" i="4"/>
  <c r="C217" i="4"/>
  <c r="N217" i="4"/>
  <c r="W217" i="4"/>
  <c r="K217" i="4"/>
  <c r="U217" i="4"/>
  <c r="R217" i="4"/>
  <c r="F217" i="4"/>
  <c r="E217" i="4"/>
  <c r="D217" i="4"/>
  <c r="N229" i="4"/>
  <c r="J229" i="4"/>
  <c r="I229" i="4"/>
  <c r="U229" i="4"/>
  <c r="F229" i="4"/>
  <c r="E229" i="4"/>
  <c r="D229" i="4"/>
  <c r="P229" i="4"/>
  <c r="C229" i="4"/>
  <c r="E241" i="4"/>
  <c r="P241" i="4"/>
  <c r="D241" i="4"/>
  <c r="C241" i="4"/>
  <c r="K241" i="4"/>
  <c r="J241" i="4"/>
  <c r="I241" i="4"/>
  <c r="G241" i="4"/>
  <c r="S241" i="4"/>
  <c r="R253" i="4"/>
  <c r="F253" i="4"/>
  <c r="E253" i="4"/>
  <c r="D253" i="4"/>
  <c r="C253" i="4"/>
  <c r="U253" i="4"/>
  <c r="I253" i="4"/>
  <c r="H253" i="4"/>
  <c r="F265" i="4"/>
  <c r="E265" i="4"/>
  <c r="D265" i="4"/>
  <c r="C265" i="4"/>
  <c r="N265" i="4"/>
  <c r="V265" i="4"/>
  <c r="U265" i="4"/>
  <c r="I265" i="4"/>
  <c r="H265" i="4"/>
  <c r="K76" i="4"/>
  <c r="C125" i="4"/>
  <c r="C89" i="4"/>
  <c r="K145" i="4"/>
  <c r="D137" i="4"/>
  <c r="U100" i="4"/>
  <c r="I100" i="4"/>
  <c r="S100" i="4"/>
  <c r="F100" i="4"/>
  <c r="E100" i="4"/>
  <c r="J100" i="4"/>
  <c r="H124" i="4"/>
  <c r="S124" i="4"/>
  <c r="F124" i="4"/>
  <c r="E124" i="4"/>
  <c r="D124" i="4"/>
  <c r="J124" i="4"/>
  <c r="U124" i="4"/>
  <c r="I124" i="4"/>
  <c r="E160" i="4"/>
  <c r="D160" i="4"/>
  <c r="C160" i="4"/>
  <c r="N160" i="4"/>
  <c r="U160" i="4"/>
  <c r="I160" i="4"/>
  <c r="S160" i="4"/>
  <c r="R160" i="4"/>
  <c r="F256" i="4"/>
  <c r="E256" i="4"/>
  <c r="D256" i="4"/>
  <c r="C256" i="4"/>
  <c r="L256" i="4"/>
  <c r="U256" i="4"/>
  <c r="I256" i="4"/>
  <c r="H256" i="4"/>
  <c r="S256" i="4"/>
  <c r="U88" i="4"/>
  <c r="I88" i="4"/>
  <c r="S88" i="4"/>
  <c r="F88" i="4"/>
  <c r="V88" i="4"/>
  <c r="M112" i="4"/>
  <c r="I112" i="4"/>
  <c r="U112" i="4"/>
  <c r="H112" i="4"/>
  <c r="S112" i="4"/>
  <c r="F112" i="4"/>
  <c r="C112" i="4"/>
  <c r="E136" i="4"/>
  <c r="C136" i="4"/>
  <c r="N136" i="4"/>
  <c r="F136" i="4"/>
  <c r="D136" i="4"/>
  <c r="P136" i="4"/>
  <c r="J136" i="4"/>
  <c r="I136" i="4"/>
  <c r="E148" i="4"/>
  <c r="C148" i="4"/>
  <c r="U148" i="4"/>
  <c r="I148" i="4"/>
  <c r="H148" i="4"/>
  <c r="S148" i="4"/>
  <c r="Q172" i="4"/>
  <c r="E172" i="4"/>
  <c r="D172" i="4"/>
  <c r="C172" i="4"/>
  <c r="K172" i="4"/>
  <c r="J172" i="4"/>
  <c r="I172" i="4"/>
  <c r="G172" i="4"/>
  <c r="N184" i="4"/>
  <c r="I184" i="4"/>
  <c r="U184" i="4"/>
  <c r="H184" i="4"/>
  <c r="S184" i="4"/>
  <c r="F184" i="4"/>
  <c r="E184" i="4"/>
  <c r="N196" i="4"/>
  <c r="J196" i="4"/>
  <c r="U196" i="4"/>
  <c r="F196" i="4"/>
  <c r="S196" i="4"/>
  <c r="E196" i="4"/>
  <c r="D196" i="4"/>
  <c r="C196" i="4"/>
  <c r="I196" i="4"/>
  <c r="C208" i="4"/>
  <c r="N208" i="4"/>
  <c r="U208" i="4"/>
  <c r="I208" i="4"/>
  <c r="R208" i="4"/>
  <c r="F208" i="4"/>
  <c r="E208" i="4"/>
  <c r="D208" i="4"/>
  <c r="C220" i="4"/>
  <c r="N220" i="4"/>
  <c r="K220" i="4"/>
  <c r="U220" i="4"/>
  <c r="I220" i="4"/>
  <c r="R220" i="4"/>
  <c r="F220" i="4"/>
  <c r="E220" i="4"/>
  <c r="D220" i="4"/>
  <c r="N232" i="4"/>
  <c r="F232" i="4"/>
  <c r="E232" i="4"/>
  <c r="D232" i="4"/>
  <c r="C232" i="4"/>
  <c r="K232" i="4"/>
  <c r="I232" i="4"/>
  <c r="U232" i="4"/>
  <c r="H232" i="4"/>
  <c r="F244" i="4"/>
  <c r="E244" i="4"/>
  <c r="D244" i="4"/>
  <c r="C244" i="4"/>
  <c r="L244" i="4"/>
  <c r="J244" i="4"/>
  <c r="U244" i="4"/>
  <c r="I244" i="4"/>
  <c r="H244" i="4"/>
  <c r="S77" i="4"/>
  <c r="F77" i="4"/>
  <c r="U89" i="4"/>
  <c r="H89" i="4"/>
  <c r="S89" i="4"/>
  <c r="F89" i="4"/>
  <c r="E89" i="4"/>
  <c r="L89" i="4"/>
  <c r="W89" i="4"/>
  <c r="U101" i="4"/>
  <c r="I101" i="4"/>
  <c r="S101" i="4"/>
  <c r="F101" i="4"/>
  <c r="E101" i="4"/>
  <c r="N101" i="4"/>
  <c r="M113" i="4"/>
  <c r="J113" i="4"/>
  <c r="I113" i="4"/>
  <c r="G113" i="4"/>
  <c r="Q113" i="4"/>
  <c r="D113" i="4"/>
  <c r="C113" i="4"/>
  <c r="I125" i="4"/>
  <c r="G125" i="4"/>
  <c r="Q125" i="4"/>
  <c r="E125" i="4"/>
  <c r="V125" i="4"/>
  <c r="J125" i="4"/>
  <c r="Q137" i="4"/>
  <c r="E137" i="4"/>
  <c r="O137" i="4"/>
  <c r="C137" i="4"/>
  <c r="V137" i="4"/>
  <c r="I137" i="4"/>
  <c r="U137" i="4"/>
  <c r="E149" i="4"/>
  <c r="C149" i="4"/>
  <c r="U149" i="4"/>
  <c r="I149" i="4"/>
  <c r="H149" i="4"/>
  <c r="S149" i="4"/>
  <c r="F149" i="4"/>
  <c r="D149" i="4"/>
  <c r="E161" i="4"/>
  <c r="D161" i="4"/>
  <c r="C161" i="4"/>
  <c r="U161" i="4"/>
  <c r="I161" i="4"/>
  <c r="H161" i="4"/>
  <c r="S161" i="4"/>
  <c r="F161" i="4"/>
  <c r="R173" i="4"/>
  <c r="F173" i="4"/>
  <c r="E173" i="4"/>
  <c r="D173" i="4"/>
  <c r="C173" i="4"/>
  <c r="N173" i="4"/>
  <c r="U173" i="4"/>
  <c r="I173" i="4"/>
  <c r="S173" i="4"/>
  <c r="L185" i="4"/>
  <c r="K185" i="4"/>
  <c r="W185" i="4"/>
  <c r="U185" i="4"/>
  <c r="E185" i="4"/>
  <c r="D185" i="4"/>
  <c r="C185" i="4"/>
  <c r="F185" i="4"/>
  <c r="S185" i="4"/>
  <c r="N197" i="4"/>
  <c r="V197" i="4"/>
  <c r="I197" i="4"/>
  <c r="F197" i="4"/>
  <c r="K197" i="4"/>
  <c r="D197" i="4"/>
  <c r="C197" i="4"/>
  <c r="P197" i="4"/>
  <c r="E197" i="4"/>
  <c r="C209" i="4"/>
  <c r="L209" i="4"/>
  <c r="J209" i="4"/>
  <c r="U209" i="4"/>
  <c r="I209" i="4"/>
  <c r="H209" i="4"/>
  <c r="F209" i="4"/>
  <c r="E209" i="4"/>
  <c r="D209" i="4"/>
  <c r="C221" i="4"/>
  <c r="K221" i="4"/>
  <c r="U221" i="4"/>
  <c r="I221" i="4"/>
  <c r="H221" i="4"/>
  <c r="S221" i="4"/>
  <c r="F221" i="4"/>
  <c r="E221" i="4"/>
  <c r="D221" i="4"/>
  <c r="U233" i="4"/>
  <c r="S233" i="4"/>
  <c r="F233" i="4"/>
  <c r="E233" i="4"/>
  <c r="P233" i="4"/>
  <c r="D233" i="4"/>
  <c r="O233" i="4"/>
  <c r="C233" i="4"/>
  <c r="J233" i="4"/>
  <c r="F245" i="4"/>
  <c r="E245" i="4"/>
  <c r="D245" i="4"/>
  <c r="C245" i="4"/>
  <c r="N245" i="4"/>
  <c r="J245" i="4"/>
  <c r="U245" i="4"/>
  <c r="I245" i="4"/>
  <c r="S245" i="4"/>
  <c r="F257" i="4"/>
  <c r="E257" i="4"/>
  <c r="D257" i="4"/>
  <c r="C257" i="4"/>
  <c r="L257" i="4"/>
  <c r="J257" i="4"/>
  <c r="U257" i="4"/>
  <c r="I257" i="4"/>
  <c r="S257" i="4"/>
  <c r="E77" i="4"/>
  <c r="D184" i="4"/>
  <c r="C76" i="4"/>
  <c r="D148" i="4"/>
  <c r="X200" i="4" l="1"/>
  <c r="X11" i="4"/>
  <c r="X92" i="4"/>
  <c r="X255" i="4"/>
  <c r="X206" i="4"/>
  <c r="X123" i="4"/>
  <c r="X259" i="4"/>
  <c r="X129" i="4"/>
  <c r="X258" i="4"/>
  <c r="X99" i="4"/>
  <c r="X266" i="4"/>
  <c r="X85" i="4"/>
  <c r="X21" i="4"/>
  <c r="X135" i="4"/>
  <c r="X218" i="4"/>
  <c r="X52" i="4"/>
  <c r="X45" i="4"/>
  <c r="X57" i="4"/>
  <c r="X32" i="4"/>
  <c r="X61" i="4"/>
  <c r="X15" i="4"/>
  <c r="X236" i="4"/>
  <c r="X267" i="4"/>
  <c r="X225" i="4"/>
  <c r="X33" i="4"/>
  <c r="X43" i="4"/>
  <c r="X142" i="4"/>
  <c r="X260" i="4"/>
  <c r="X64" i="4"/>
  <c r="X223" i="4"/>
  <c r="X187" i="4"/>
  <c r="X175" i="4"/>
  <c r="X74" i="4"/>
  <c r="X210" i="4"/>
  <c r="X198" i="4"/>
  <c r="X91" i="4"/>
  <c r="X53" i="4"/>
  <c r="X262" i="4"/>
  <c r="X130" i="4"/>
  <c r="X30" i="4"/>
  <c r="X177" i="4"/>
  <c r="X37" i="4"/>
  <c r="X233" i="4"/>
  <c r="X208" i="4"/>
  <c r="X143" i="4"/>
  <c r="X248" i="4"/>
  <c r="C21" i="5"/>
  <c r="E21" i="5" s="1"/>
  <c r="H21" i="5" s="1"/>
  <c r="X138" i="4"/>
  <c r="X98" i="4"/>
  <c r="X194" i="4"/>
  <c r="X204" i="4"/>
  <c r="X107" i="4"/>
  <c r="X205" i="4"/>
  <c r="K11" i="6"/>
  <c r="X257" i="4"/>
  <c r="X181" i="4"/>
  <c r="N10" i="6"/>
  <c r="X83" i="4"/>
  <c r="X226" i="4"/>
  <c r="X239" i="4"/>
  <c r="X224" i="4"/>
  <c r="X79" i="4"/>
  <c r="X263" i="4"/>
  <c r="X24" i="4"/>
  <c r="X217" i="4"/>
  <c r="X249" i="4"/>
  <c r="X44" i="4"/>
  <c r="X27" i="4"/>
  <c r="X62" i="4"/>
  <c r="X133" i="4"/>
  <c r="X97" i="4"/>
  <c r="X36" i="4"/>
  <c r="X95" i="4"/>
  <c r="X69" i="4"/>
  <c r="X229" i="4"/>
  <c r="X114" i="4"/>
  <c r="X242" i="4"/>
  <c r="X26" i="4"/>
  <c r="X192" i="4"/>
  <c r="X220" i="4"/>
  <c r="X241" i="4"/>
  <c r="X250" i="4"/>
  <c r="X261" i="4"/>
  <c r="X247" i="4"/>
  <c r="J10" i="6"/>
  <c r="X222" i="4"/>
  <c r="X90" i="4"/>
  <c r="X87" i="4"/>
  <c r="X228" i="4"/>
  <c r="X216" i="4"/>
  <c r="X190" i="4"/>
  <c r="X82" i="4"/>
  <c r="X212" i="4"/>
  <c r="X128" i="4"/>
  <c r="X56" i="4"/>
  <c r="X55" i="4"/>
  <c r="X14" i="4"/>
  <c r="X191" i="4"/>
  <c r="X237" i="4"/>
  <c r="X118" i="4"/>
  <c r="X140" i="4"/>
  <c r="X196" i="4"/>
  <c r="X264" i="4"/>
  <c r="X167" i="4"/>
  <c r="X227" i="4"/>
  <c r="X77" i="4"/>
  <c r="X197" i="4"/>
  <c r="Q7" i="6"/>
  <c r="I19" i="6"/>
  <c r="X179" i="4"/>
  <c r="G14" i="6"/>
  <c r="X176" i="4"/>
  <c r="G12" i="6"/>
  <c r="X72" i="4"/>
  <c r="X47" i="4"/>
  <c r="D20" i="6"/>
  <c r="X25" i="4"/>
  <c r="X63" i="4"/>
  <c r="X16" i="4"/>
  <c r="X159" i="4"/>
  <c r="X221" i="4"/>
  <c r="X67" i="4"/>
  <c r="X213" i="4"/>
  <c r="X50" i="4"/>
  <c r="X230" i="4"/>
  <c r="X146" i="4"/>
  <c r="F10" i="6"/>
  <c r="G17" i="6"/>
  <c r="G11" i="6"/>
  <c r="X144" i="4"/>
  <c r="X96" i="4"/>
  <c r="X215" i="4"/>
  <c r="N17" i="6"/>
  <c r="K17" i="6"/>
  <c r="X124" i="4"/>
  <c r="P7" i="6"/>
  <c r="C15" i="5"/>
  <c r="E15" i="5" s="1"/>
  <c r="H15" i="5" s="1"/>
  <c r="X10" i="4"/>
  <c r="B14" i="6"/>
  <c r="O17" i="6"/>
  <c r="X34" i="4"/>
  <c r="C17" i="6"/>
  <c r="X174" i="4"/>
  <c r="C17" i="5"/>
  <c r="E17" i="5" s="1"/>
  <c r="H17" i="5" s="1"/>
  <c r="X111" i="4"/>
  <c r="X245" i="4"/>
  <c r="X185" i="4"/>
  <c r="N19" i="6"/>
  <c r="F11" i="6"/>
  <c r="X6" i="4"/>
  <c r="E17" i="6"/>
  <c r="X119" i="4"/>
  <c r="X59" i="4"/>
  <c r="X117" i="4"/>
  <c r="X115" i="4"/>
  <c r="X4" i="4"/>
  <c r="X66" i="4"/>
  <c r="X41" i="4"/>
  <c r="D5" i="6"/>
  <c r="O19" i="6"/>
  <c r="I16" i="6"/>
  <c r="X132" i="4"/>
  <c r="C10" i="6"/>
  <c r="H7" i="6"/>
  <c r="X48" i="4"/>
  <c r="P11" i="6"/>
  <c r="X71" i="4"/>
  <c r="C6" i="5"/>
  <c r="E6" i="5" s="1"/>
  <c r="H6" i="5" s="1"/>
  <c r="X80" i="4"/>
  <c r="X51" i="4"/>
  <c r="X23" i="4"/>
  <c r="X5" i="4"/>
  <c r="X28" i="4"/>
  <c r="D11" i="6"/>
  <c r="P10" i="6"/>
  <c r="L17" i="6"/>
  <c r="X170" i="4"/>
  <c r="X100" i="4"/>
  <c r="X161" i="4"/>
  <c r="X58" i="4"/>
  <c r="X13" i="4"/>
  <c r="C8" i="5"/>
  <c r="E8" i="5" s="1"/>
  <c r="H8" i="5" s="1"/>
  <c r="X103" i="4"/>
  <c r="X46" i="4"/>
  <c r="D14" i="6"/>
  <c r="E7" i="6"/>
  <c r="N9" i="6"/>
  <c r="X40" i="4"/>
  <c r="X184" i="4"/>
  <c r="X88" i="4"/>
  <c r="Q13" i="6"/>
  <c r="X12" i="4"/>
  <c r="X38" i="4"/>
  <c r="X68" i="4"/>
  <c r="X211" i="4"/>
  <c r="X127" i="4"/>
  <c r="X29" i="4"/>
  <c r="X93" i="4"/>
  <c r="X9" i="4"/>
  <c r="E10" i="6"/>
  <c r="X172" i="4"/>
  <c r="X112" i="4"/>
  <c r="X256" i="4"/>
  <c r="D19" i="6"/>
  <c r="M7" i="6"/>
  <c r="C11" i="5"/>
  <c r="X253" i="4"/>
  <c r="X203" i="4"/>
  <c r="K5" i="6"/>
  <c r="X154" i="4"/>
  <c r="N16" i="6"/>
  <c r="J16" i="6"/>
  <c r="N15" i="6"/>
  <c r="B15" i="6"/>
  <c r="M15" i="6"/>
  <c r="L15" i="6"/>
  <c r="K15" i="6"/>
  <c r="J15" i="6"/>
  <c r="I15" i="6"/>
  <c r="C19" i="5"/>
  <c r="H15" i="6"/>
  <c r="G15" i="6"/>
  <c r="F15" i="6"/>
  <c r="Q15" i="6"/>
  <c r="E15" i="6"/>
  <c r="P15" i="6"/>
  <c r="D15" i="6"/>
  <c r="O15" i="6"/>
  <c r="C15" i="6"/>
  <c r="X19" i="4"/>
  <c r="H14" i="6"/>
  <c r="P14" i="6"/>
  <c r="X151" i="4"/>
  <c r="X42" i="4"/>
  <c r="B13" i="6"/>
  <c r="I13" i="6"/>
  <c r="X86" i="4"/>
  <c r="H12" i="6"/>
  <c r="X171" i="4"/>
  <c r="Q9" i="6"/>
  <c r="X158" i="4"/>
  <c r="H20" i="6"/>
  <c r="P20" i="6"/>
  <c r="Q10" i="6"/>
  <c r="X136" i="4"/>
  <c r="P19" i="6"/>
  <c r="B7" i="6"/>
  <c r="I7" i="6"/>
  <c r="X193" i="4"/>
  <c r="X169" i="4"/>
  <c r="X155" i="4"/>
  <c r="L5" i="6"/>
  <c r="X202" i="4"/>
  <c r="C16" i="6"/>
  <c r="C7" i="5"/>
  <c r="X188" i="4"/>
  <c r="X164" i="4"/>
  <c r="X116" i="4"/>
  <c r="X8" i="4"/>
  <c r="C18" i="5"/>
  <c r="E14" i="6"/>
  <c r="X3" i="4"/>
  <c r="N13" i="6"/>
  <c r="J13" i="6"/>
  <c r="X246" i="4"/>
  <c r="X150" i="4"/>
  <c r="X102" i="4"/>
  <c r="X78" i="4"/>
  <c r="C16" i="5"/>
  <c r="X65" i="4"/>
  <c r="X22" i="4"/>
  <c r="F9" i="6"/>
  <c r="C24" i="5"/>
  <c r="E20" i="6"/>
  <c r="L11" i="6"/>
  <c r="E19" i="6"/>
  <c r="N7" i="6"/>
  <c r="J7" i="6"/>
  <c r="X108" i="4"/>
  <c r="D17" i="6"/>
  <c r="M5" i="6"/>
  <c r="O16" i="6"/>
  <c r="I14" i="6"/>
  <c r="Q14" i="6"/>
  <c r="C13" i="6"/>
  <c r="C5" i="5"/>
  <c r="X234" i="4"/>
  <c r="X105" i="4"/>
  <c r="I12" i="6"/>
  <c r="X17" i="4"/>
  <c r="G9" i="6"/>
  <c r="I20" i="6"/>
  <c r="Q20" i="6"/>
  <c r="B11" i="6"/>
  <c r="X209" i="4"/>
  <c r="K10" i="6"/>
  <c r="G10" i="6"/>
  <c r="Q19" i="6"/>
  <c r="C7" i="6"/>
  <c r="X265" i="4"/>
  <c r="X240" i="4"/>
  <c r="X180" i="4"/>
  <c r="N18" i="6"/>
  <c r="B18" i="6"/>
  <c r="M18" i="6"/>
  <c r="L18" i="6"/>
  <c r="K18" i="6"/>
  <c r="J18" i="6"/>
  <c r="I18" i="6"/>
  <c r="C22" i="5"/>
  <c r="H18" i="6"/>
  <c r="G18" i="6"/>
  <c r="F18" i="6"/>
  <c r="Q18" i="6"/>
  <c r="E18" i="6"/>
  <c r="P18" i="6"/>
  <c r="D18" i="6"/>
  <c r="O18" i="6"/>
  <c r="C18" i="6"/>
  <c r="H17" i="6"/>
  <c r="P17" i="6"/>
  <c r="B5" i="6"/>
  <c r="D16" i="6"/>
  <c r="J14" i="6"/>
  <c r="F14" i="6"/>
  <c r="X235" i="4"/>
  <c r="X110" i="4"/>
  <c r="O13" i="6"/>
  <c r="J12" i="6"/>
  <c r="X20" i="4"/>
  <c r="X219" i="4"/>
  <c r="X165" i="4"/>
  <c r="H9" i="6"/>
  <c r="J20" i="6"/>
  <c r="F20" i="6"/>
  <c r="X173" i="4"/>
  <c r="X125" i="4"/>
  <c r="X101" i="4"/>
  <c r="L10" i="6"/>
  <c r="H10" i="6"/>
  <c r="F19" i="6"/>
  <c r="O7" i="6"/>
  <c r="X120" i="4"/>
  <c r="N6" i="6"/>
  <c r="B6" i="6"/>
  <c r="M6" i="6"/>
  <c r="L6" i="6"/>
  <c r="K6" i="6"/>
  <c r="J6" i="6"/>
  <c r="I6" i="6"/>
  <c r="C10" i="5"/>
  <c r="H6" i="6"/>
  <c r="G6" i="6"/>
  <c r="F6" i="6"/>
  <c r="Q6" i="6"/>
  <c r="E6" i="6"/>
  <c r="P6" i="6"/>
  <c r="D6" i="6"/>
  <c r="O6" i="6"/>
  <c r="C6" i="6"/>
  <c r="X2" i="4"/>
  <c r="N5" i="6"/>
  <c r="X214" i="4"/>
  <c r="X166" i="4"/>
  <c r="P16" i="6"/>
  <c r="K14" i="6"/>
  <c r="X199" i="4"/>
  <c r="X163" i="4"/>
  <c r="D13" i="6"/>
  <c r="X186" i="4"/>
  <c r="X162" i="4"/>
  <c r="X54" i="4"/>
  <c r="C12" i="6"/>
  <c r="K12" i="6"/>
  <c r="C13" i="5"/>
  <c r="K20" i="6"/>
  <c r="F8" i="6"/>
  <c r="Q8" i="6"/>
  <c r="E8" i="6"/>
  <c r="P8" i="6"/>
  <c r="D8" i="6"/>
  <c r="O8" i="6"/>
  <c r="C8" i="6"/>
  <c r="N8" i="6"/>
  <c r="B8" i="6"/>
  <c r="M8" i="6"/>
  <c r="L8" i="6"/>
  <c r="K8" i="6"/>
  <c r="J8" i="6"/>
  <c r="I8" i="6"/>
  <c r="C12" i="5"/>
  <c r="H8" i="6"/>
  <c r="G8" i="6"/>
  <c r="X109" i="4"/>
  <c r="X73" i="4"/>
  <c r="M11" i="6"/>
  <c r="N11" i="6"/>
  <c r="C11" i="6"/>
  <c r="X137" i="4"/>
  <c r="M10" i="6"/>
  <c r="C14" i="5"/>
  <c r="X232" i="4"/>
  <c r="K19" i="6"/>
  <c r="G19" i="6"/>
  <c r="D7" i="6"/>
  <c r="X251" i="4"/>
  <c r="I17" i="6"/>
  <c r="Q17" i="6"/>
  <c r="C5" i="6"/>
  <c r="X94" i="4"/>
  <c r="E16" i="6"/>
  <c r="L14" i="6"/>
  <c r="P13" i="6"/>
  <c r="X39" i="4"/>
  <c r="O12" i="6"/>
  <c r="L12" i="6"/>
  <c r="X134" i="4"/>
  <c r="X201" i="4"/>
  <c r="X231" i="4"/>
  <c r="I9" i="6"/>
  <c r="L20" i="6"/>
  <c r="X49" i="4"/>
  <c r="O11" i="6"/>
  <c r="B10" i="6"/>
  <c r="I10" i="6"/>
  <c r="L19" i="6"/>
  <c r="H19" i="6"/>
  <c r="X145" i="4"/>
  <c r="X76" i="4"/>
  <c r="X252" i="4"/>
  <c r="X131" i="4"/>
  <c r="J17" i="6"/>
  <c r="F17" i="6"/>
  <c r="O5" i="6"/>
  <c r="X70" i="4"/>
  <c r="X7" i="4"/>
  <c r="Q16" i="6"/>
  <c r="M14" i="6"/>
  <c r="X122" i="4"/>
  <c r="E13" i="6"/>
  <c r="X153" i="4"/>
  <c r="D12" i="6"/>
  <c r="M12" i="6"/>
  <c r="J9" i="6"/>
  <c r="M20" i="6"/>
  <c r="X189" i="4"/>
  <c r="G5" i="6"/>
  <c r="F16" i="6"/>
  <c r="P12" i="6"/>
  <c r="B12" i="6"/>
  <c r="C9" i="6"/>
  <c r="K9" i="6"/>
  <c r="B20" i="6"/>
  <c r="X121" i="4"/>
  <c r="X60" i="4"/>
  <c r="M19" i="6"/>
  <c r="C23" i="5"/>
  <c r="H11" i="6"/>
  <c r="X244" i="4"/>
  <c r="X148" i="4"/>
  <c r="B19" i="6"/>
  <c r="X168" i="4"/>
  <c r="X156" i="4"/>
  <c r="H5" i="6"/>
  <c r="P5" i="6"/>
  <c r="X238" i="4"/>
  <c r="K16" i="6"/>
  <c r="G16" i="6"/>
  <c r="N14" i="6"/>
  <c r="F13" i="6"/>
  <c r="X126" i="4"/>
  <c r="E12" i="6"/>
  <c r="N12" i="6"/>
  <c r="X243" i="4"/>
  <c r="X147" i="4"/>
  <c r="O9" i="6"/>
  <c r="L9" i="6"/>
  <c r="N20" i="6"/>
  <c r="E11" i="6"/>
  <c r="X113" i="4"/>
  <c r="O10" i="6"/>
  <c r="J19" i="6"/>
  <c r="F7" i="6"/>
  <c r="M17" i="6"/>
  <c r="C9" i="5"/>
  <c r="E5" i="6"/>
  <c r="L16" i="6"/>
  <c r="H16" i="6"/>
  <c r="C14" i="6"/>
  <c r="K13" i="6"/>
  <c r="G13" i="6"/>
  <c r="Q12" i="6"/>
  <c r="C4" i="5"/>
  <c r="D9" i="6"/>
  <c r="M9" i="6"/>
  <c r="X254" i="4"/>
  <c r="C20" i="6"/>
  <c r="I11" i="6"/>
  <c r="Q11" i="6"/>
  <c r="D10" i="6"/>
  <c r="X160" i="4"/>
  <c r="C19" i="6"/>
  <c r="K7" i="6"/>
  <c r="G7" i="6"/>
  <c r="X84" i="4"/>
  <c r="B17" i="6"/>
  <c r="I5" i="6"/>
  <c r="Q5" i="6"/>
  <c r="M16" i="6"/>
  <c r="C20" i="5"/>
  <c r="X152" i="4"/>
  <c r="O14" i="6"/>
  <c r="L13" i="6"/>
  <c r="H13" i="6"/>
  <c r="X18" i="4"/>
  <c r="X75" i="4"/>
  <c r="F12" i="6"/>
  <c r="X195" i="4"/>
  <c r="P9" i="6"/>
  <c r="B9" i="6"/>
  <c r="O20" i="6"/>
  <c r="X35" i="4"/>
  <c r="X141" i="4"/>
  <c r="J11" i="6"/>
  <c r="X149" i="4"/>
  <c r="X89" i="4"/>
  <c r="L7" i="6"/>
  <c r="X157" i="4"/>
  <c r="J5" i="6"/>
  <c r="F5" i="6"/>
  <c r="X178" i="4"/>
  <c r="X106" i="4"/>
  <c r="B16" i="6"/>
  <c r="X104" i="4"/>
  <c r="X139" i="4"/>
  <c r="X31" i="4"/>
  <c r="M13" i="6"/>
  <c r="X183" i="4"/>
  <c r="E9" i="6"/>
  <c r="G20" i="6"/>
  <c r="I21" i="6" l="1"/>
  <c r="G21" i="6"/>
  <c r="D21" i="6"/>
  <c r="E23" i="5"/>
  <c r="H23" i="5" s="1"/>
  <c r="L21" i="6"/>
  <c r="J21" i="6"/>
  <c r="E4" i="5"/>
  <c r="H4" i="5" s="1"/>
  <c r="P21" i="6"/>
  <c r="E9" i="5"/>
  <c r="H9" i="5" s="1"/>
  <c r="C21" i="6"/>
  <c r="E20" i="5"/>
  <c r="H20" i="5" s="1"/>
  <c r="H21" i="6"/>
  <c r="B21" i="6"/>
  <c r="E22" i="5"/>
  <c r="H22" i="5" s="1"/>
  <c r="E5" i="5"/>
  <c r="H5" i="5" s="1"/>
  <c r="E12" i="5"/>
  <c r="H12" i="5" s="1"/>
  <c r="E24" i="5"/>
  <c r="H24" i="5" s="1"/>
  <c r="F21" i="6"/>
  <c r="Q21" i="6"/>
  <c r="E21" i="6"/>
  <c r="E18" i="5"/>
  <c r="H18" i="5" s="1"/>
  <c r="E14" i="5"/>
  <c r="H14" i="5" s="1"/>
  <c r="M21" i="6"/>
  <c r="E16" i="5"/>
  <c r="H16" i="5" s="1"/>
  <c r="K21" i="6"/>
  <c r="E13" i="5"/>
  <c r="H13" i="5" s="1"/>
  <c r="O21" i="6"/>
  <c r="N21" i="6"/>
  <c r="E19" i="5"/>
  <c r="H19" i="5" s="1"/>
  <c r="E10" i="5"/>
  <c r="H10" i="5" s="1"/>
  <c r="E7" i="5"/>
  <c r="H7" i="5" s="1"/>
  <c r="E11" i="5"/>
  <c r="H11" i="5" s="1"/>
  <c r="B17" i="7"/>
  <c r="B7" i="7"/>
  <c r="B10" i="7" s="1"/>
  <c r="B16" i="7" s="1"/>
  <c r="E26" i="5" l="1"/>
  <c r="B19" i="7" s="1"/>
</calcChain>
</file>

<file path=xl/sharedStrings.xml><?xml version="1.0" encoding="utf-8"?>
<sst xmlns="http://schemas.openxmlformats.org/spreadsheetml/2006/main" count="2418" uniqueCount="113">
  <si>
    <t>Phase 0 + Phase 1 Workbook — Timetable Feasibility Screen</t>
  </si>
  <si>
    <t>PURPOSE</t>
  </si>
  <si>
    <t>Takes a raw student roster and teacher list, and answers one question before any</t>
  </si>
  <si>
    <t>solver runs: how many parallel columns does this grade need, and is it staffable?</t>
  </si>
  <si>
    <t>Everything recalculates from the Roster sheet, so a new school's data can be pasted</t>
  </si>
  <si>
    <t>in and the bounds update automatically.</t>
  </si>
  <si>
    <t>HOW TO USE FOR A NEW SCHOOL</t>
  </si>
  <si>
    <t>1. Config!B2  — set the grade to analyse (one grade at a time).</t>
  </si>
  <si>
    <t>2. Config!B3  — set the class-size cap.</t>
  </si>
  <si>
    <t>3. Roster     — paste Id, Grade, and each student's subjects in S1..S10.</t>
  </si>
  <si>
    <t>4. Subjects!F — enter each subject's qualification pool size (how many staff COULD teach it).</t>
  </si>
  <si>
    <t>5. Read Bounds. If it says INFEASIBLE, the reason is named — fix that before solving.</t>
  </si>
  <si>
    <t>SHEETS</t>
  </si>
  <si>
    <t>Config    — the two inputs that drive everything (grade, cap).</t>
  </si>
  <si>
    <t>Roster    — raw data, one row per student. This is the only place data is typed.</t>
  </si>
  <si>
    <t>Matrix    — Phase 0. Binary student x subject grid + each student's basket size.</t>
  </si>
  <si>
    <t>Subjects  — Phase 0/1. Enrolment, section floor, pool, per-subject status.</t>
  </si>
  <si>
    <t>Conflict  — Phase 1. Subject x subject co-occurrence. Non-zero = the two clash.</t>
  </si>
  <si>
    <t>Bounds    — Phase 1. The lower bounds on column count, and the verdict.</t>
  </si>
  <si>
    <t>COLOUR LEGEND</t>
  </si>
  <si>
    <t>Blue text on cream fill = you type here.  Black = calculated, do not edit.</t>
  </si>
  <si>
    <t>WHAT THIS WORKBOOK CANNOT DO</t>
  </si>
  <si>
    <t>Max-clique is not computable in plain Excel. Bounds!B8 uses the largest basket, which</t>
  </si>
  <si>
    <t>is always a valid clique and therefore a valid lower bound, but the true clique may be</t>
  </si>
  <si>
    <t>larger. Treat Bounds as a floor: passing here means "not yet proven infeasible", not</t>
  </si>
  <si>
    <t>"proven feasible". Phase 3 (CP-SAT) is still the arbiter.</t>
  </si>
  <si>
    <t>Config</t>
  </si>
  <si>
    <t>Grade to analyse</t>
  </si>
  <si>
    <t>Must match a value in Roster column B.</t>
  </si>
  <si>
    <t>Class-size cap</t>
  </si>
  <si>
    <t>Max students per section. Drives the section floor.</t>
  </si>
  <si>
    <t>Universal-block subjects</t>
  </si>
  <si>
    <t>EN, LO, PE, MA, ML</t>
  </si>
  <si>
    <t>Taken by (almost) every student; consume columns but create no basket diversity.</t>
  </si>
  <si>
    <t>Choice subjects</t>
  </si>
  <si>
    <t>AC, AF, BS, CAT, DA, DR, ED, FR, GE, HI, IT, LS, MU, SC, VA, ZU</t>
  </si>
  <si>
    <t>Id</t>
  </si>
  <si>
    <t>Grade</t>
  </si>
  <si>
    <t>In scope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</si>
  <si>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</si>
  <si>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</si>
  <si>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</si>
  <si>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</si>
  <si>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</si>
  <si>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</si>
  <si>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</si>
  <si>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</si>
  <si>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</si>
  <si>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EN</t>
  </si>
  <si>
    <t>LO</t>
  </si>
  <si>
    <t>PE</t>
  </si>
  <si>
    <t>MA</t>
  </si>
  <si>
    <t>AF</t>
  </si>
  <si>
    <t>CAT</t>
  </si>
  <si>
    <t>IT</t>
  </si>
  <si>
    <t>SC</t>
  </si>
  <si>
    <t>ML</t>
  </si>
  <si>
    <t>ZU</t>
  </si>
  <si>
    <t>BS</t>
  </si>
  <si>
    <t>DA</t>
  </si>
  <si>
    <t>DR</t>
  </si>
  <si>
    <t>HI</t>
  </si>
  <si>
    <t>VA</t>
  </si>
  <si>
    <t>ED</t>
  </si>
  <si>
    <t>LS</t>
  </si>
  <si>
    <t>AC</t>
  </si>
  <si>
    <t>MU</t>
  </si>
  <si>
    <t>GE</t>
  </si>
  <si>
    <t>FR</t>
  </si>
  <si>
    <t>In</t>
  </si>
  <si>
    <t>Basket</t>
  </si>
  <si>
    <t>Phase 0 / Phase 1 — per-subject screen</t>
  </si>
  <si>
    <t>Subject</t>
  </si>
  <si>
    <t>Type</t>
  </si>
  <si>
    <t>Students</t>
  </si>
  <si>
    <t>Cap</t>
  </si>
  <si>
    <t>Section floor</t>
  </si>
  <si>
    <t>Pool size</t>
  </si>
  <si>
    <t>2025 actual sections</t>
  </si>
  <si>
    <t>Status</t>
  </si>
  <si>
    <t>Universal</t>
  </si>
  <si>
    <t>Choice</t>
  </si>
  <si>
    <t>Choice sections (floor)</t>
  </si>
  <si>
    <t>Note</t>
  </si>
  <si>
    <t>Pool size limits sections running in the SAME column, not total sections. One teacher may cover several sections of a subject in different columns.</t>
  </si>
  <si>
    <t>Pool and 2025-actual columns are pre-filled from Teachers2025.xlsx for Grade 12. Re-enter them when analysing a different grade or school.</t>
  </si>
  <si>
    <t>Phase 1 — choice-subject co-occurrence (students taking BOTH)</t>
  </si>
  <si>
    <t>Non-zero off-diagonal = the two subjects clash and cannot share a column when each has a single section. Diagonal = enrolment.</t>
  </si>
  <si>
    <t>Degree</t>
  </si>
  <si>
    <t>Degree = number of other choice subjects this one clashes with.</t>
  </si>
  <si>
    <t>Phase 1 - lower bounds on column count</t>
  </si>
  <si>
    <t>Grade analysed</t>
  </si>
  <si>
    <t>From Config.</t>
  </si>
  <si>
    <t>Students in scope</t>
  </si>
  <si>
    <t>Roster rows matching the selected grade.</t>
  </si>
  <si>
    <t>BOUND 1   Max basket size</t>
  </si>
  <si>
    <t>The largest number of choice subjects any single student takes. That student needs this many distinct columns. Hard floor - no amount of staffing beats it.</t>
  </si>
  <si>
    <t>BOUND 2   Max clique</t>
  </si>
  <si>
    <t>n/a</t>
  </si>
  <si>
    <t>Not computable in plain Excel. Bound 1 is itself a clique, so the true clique bound is always &gt;= Bound 1. Compute in Phase 3 if Bound 1 passes.</t>
  </si>
  <si>
    <t>COLUMNS REQUIRED (lower bound)</t>
  </si>
  <si>
    <t>The choice block cannot be built in fewer columns than this.</t>
  </si>
  <si>
    <t>Columns available</t>
  </si>
  <si>
    <t>TYPE THIS. Total parallel columns in the school timetable shape.</t>
  </si>
  <si>
    <t>Columns used by universal block</t>
  </si>
  <si>
    <t>TYPE THIS. E.g. EN takes 1 column, MA/ML/PE/LO share 2.</t>
  </si>
  <si>
    <t>Columns left for choice subjects</t>
  </si>
  <si>
    <t>VERDICT</t>
  </si>
  <si>
    <t>A pass is a floor check only. Phase 3 (CP-SAT) is the arbiter of true feasibility.</t>
  </si>
  <si>
    <t>Students needing manual handling</t>
  </si>
  <si>
    <t>Baskets larger than the free block. Quarantine these as exceptions - do not size the grid around them.</t>
  </si>
  <si>
    <t>Choice sections at floor</t>
  </si>
  <si>
    <t>Sum of per-subject section floors. Lower bound on total choice classes to staff.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</si>
</sst>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i/>
      <sz val="9"/>
      <color rgb="FF555555"/>
      <name val="Arial"/>
      <charset val="1"/>
    </font>
    <font>
      <b/>
      <sz val="10"/>
      <color rgb="FFFFFF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1F3864"/>
        <bgColor rgb="FF333333"/>
      </patternFill>
    </fill>
    <fill>
      <patternFill patternType="solid">
        <fgColor rgb="FFE2EFDA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0" borderId="0" xfId="0" applyFont="1"/>
    <xf numFmtId="0" fontId="6" fillId="3" borderId="0" xfId="0" applyFont="1" applyFill="1" applyAlignment="1">
      <alignment horizontal="center"/>
    </xf>
    <xf numFmtId="0" fontId="6" fillId="3" borderId="0" xfId="0" applyFont="1" applyFill="1"/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4" borderId="0" xfId="0" applyFont="1" applyFill="1"/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zoomScaleNormal="100" workbookViewId="0"/>
  </sheetViews>
  <sheetFormatPr defaultColWidth="8.6640625" defaultRowHeight="14.4" x14ac:dyDescent="0.3"/>
  <cols>
    <col min="1" max="1" width="100" customWidth="1"/>
  </cols>
  <sheetData>
    <row r="1" spans="1:1" ht="17.25" customHeight="1" x14ac:dyDescent="0.3">
      <c r="A1" s="1" t="s">
        <v>0</v>
      </c>
    </row>
    <row r="2" spans="1:1" ht="15" customHeight="1" x14ac:dyDescent="0.3">
      <c r="A2" s="2"/>
    </row>
    <row r="3" spans="1:1" ht="15" customHeight="1" x14ac:dyDescent="0.3">
      <c r="A3" s="3" t="s">
        <v>1</v>
      </c>
    </row>
    <row r="4" spans="1:1" ht="15" customHeight="1" x14ac:dyDescent="0.3">
      <c r="A4" s="2" t="s">
        <v>2</v>
      </c>
    </row>
    <row r="5" spans="1:1" ht="15" customHeight="1" x14ac:dyDescent="0.3">
      <c r="A5" s="2" t="s">
        <v>3</v>
      </c>
    </row>
    <row r="6" spans="1:1" ht="15" customHeight="1" x14ac:dyDescent="0.3">
      <c r="A6" s="2" t="s">
        <v>4</v>
      </c>
    </row>
    <row r="7" spans="1:1" ht="15" customHeight="1" x14ac:dyDescent="0.3">
      <c r="A7" s="2" t="s">
        <v>5</v>
      </c>
    </row>
    <row r="8" spans="1:1" ht="15" customHeight="1" x14ac:dyDescent="0.3">
      <c r="A8" s="2"/>
    </row>
    <row r="9" spans="1:1" ht="15" customHeight="1" x14ac:dyDescent="0.3">
      <c r="A9" s="3" t="s">
        <v>6</v>
      </c>
    </row>
    <row r="10" spans="1:1" ht="15" customHeight="1" x14ac:dyDescent="0.3">
      <c r="A10" s="2" t="s">
        <v>7</v>
      </c>
    </row>
    <row r="11" spans="1:1" ht="15" customHeight="1" x14ac:dyDescent="0.3">
      <c r="A11" s="2" t="s">
        <v>8</v>
      </c>
    </row>
    <row r="12" spans="1:1" ht="15" customHeight="1" x14ac:dyDescent="0.3">
      <c r="A12" s="2" t="s">
        <v>9</v>
      </c>
    </row>
    <row r="13" spans="1:1" ht="15" customHeight="1" x14ac:dyDescent="0.3">
      <c r="A13" s="2" t="s">
        <v>10</v>
      </c>
    </row>
    <row r="14" spans="1:1" ht="15" customHeight="1" x14ac:dyDescent="0.3">
      <c r="A14" s="2" t="s">
        <v>11</v>
      </c>
    </row>
    <row r="15" spans="1:1" ht="15" customHeight="1" x14ac:dyDescent="0.3">
      <c r="A15" s="2"/>
    </row>
    <row r="16" spans="1:1" ht="15" customHeight="1" x14ac:dyDescent="0.3">
      <c r="A16" s="3" t="s">
        <v>12</v>
      </c>
    </row>
    <row r="17" spans="1:1" ht="15" customHeight="1" x14ac:dyDescent="0.3">
      <c r="A17" s="2" t="s">
        <v>13</v>
      </c>
    </row>
    <row r="18" spans="1:1" ht="15" customHeight="1" x14ac:dyDescent="0.3">
      <c r="A18" s="2" t="s">
        <v>14</v>
      </c>
    </row>
    <row r="19" spans="1:1" ht="15" customHeight="1" x14ac:dyDescent="0.3">
      <c r="A19" s="2" t="s">
        <v>15</v>
      </c>
    </row>
    <row r="20" spans="1:1" ht="15" customHeight="1" x14ac:dyDescent="0.3">
      <c r="A20" s="2" t="s">
        <v>16</v>
      </c>
    </row>
    <row r="21" spans="1:1" ht="15" customHeight="1" x14ac:dyDescent="0.3">
      <c r="A21" s="2" t="s">
        <v>17</v>
      </c>
    </row>
    <row r="22" spans="1:1" ht="15" customHeight="1" x14ac:dyDescent="0.3">
      <c r="A22" s="2" t="s">
        <v>18</v>
      </c>
    </row>
    <row r="23" spans="1:1" ht="15" customHeight="1" x14ac:dyDescent="0.3">
      <c r="A23" s="2"/>
    </row>
    <row r="24" spans="1:1" ht="15" customHeight="1" x14ac:dyDescent="0.3">
      <c r="A24" s="3" t="s">
        <v>19</v>
      </c>
    </row>
    <row r="25" spans="1:1" ht="15" customHeight="1" x14ac:dyDescent="0.3">
      <c r="A25" s="2" t="s">
        <v>20</v>
      </c>
    </row>
    <row r="26" spans="1:1" ht="15" customHeight="1" x14ac:dyDescent="0.3">
      <c r="A26" s="2"/>
    </row>
    <row r="27" spans="1:1" ht="15" customHeight="1" x14ac:dyDescent="0.3">
      <c r="A27" s="3" t="s">
        <v>21</v>
      </c>
    </row>
    <row r="28" spans="1:1" ht="15" customHeight="1" x14ac:dyDescent="0.3">
      <c r="A28" s="2" t="s">
        <v>22</v>
      </c>
    </row>
    <row r="29" spans="1:1" ht="15" customHeight="1" x14ac:dyDescent="0.3">
      <c r="A29" s="2" t="s">
        <v>23</v>
      </c>
    </row>
    <row r="30" spans="1:1" ht="15" customHeight="1" x14ac:dyDescent="0.3">
      <c r="A30" s="2" t="s">
        <v>24</v>
      </c>
    </row>
    <row r="31" spans="1:1" ht="15" customHeight="1" x14ac:dyDescent="0.3">
      <c r="A31" s="2" t="s"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zoomScale="81" zoomScaleNormal="81" workbookViewId="0">
      <selection activeCell="B3" sqref="B3"/>
    </sheetView>
  </sheetViews>
  <sheetFormatPr defaultColWidth="8.6640625" defaultRowHeight="14.4" x14ac:dyDescent="0.3"/>
  <cols>
    <col min="1" max="1" width="34" customWidth="1"/>
    <col min="2" max="2" width="14" customWidth="1"/>
    <col min="3" max="3" width="60" customWidth="1"/>
  </cols>
  <sheetData>
    <row r="1" spans="1:3" ht="17.25" customHeight="1" x14ac:dyDescent="0.3">
      <c r="A1" s="1" t="s">
        <v>26</v>
      </c>
    </row>
    <row r="2" spans="1:3" ht="15" customHeight="1" x14ac:dyDescent="0.3">
      <c r="A2" s="3" t="s">
        <v>27</v>
      </c>
      <c r="B2" s="4">
        <v>12</v>
      </c>
      <c r="C2" s="5" t="s">
        <v>28</v>
      </c>
    </row>
    <row r="3" spans="1:3" ht="15" customHeight="1" x14ac:dyDescent="0.3">
      <c r="A3" s="3" t="s">
        <v>29</v>
      </c>
      <c r="B3" s="4">
        <v>25</v>
      </c>
      <c r="C3" s="5" t="s">
        <v>30</v>
      </c>
    </row>
    <row r="5" spans="1:3" ht="15" customHeight="1" x14ac:dyDescent="0.3">
      <c r="A5" s="3" t="s">
        <v>31</v>
      </c>
      <c r="B5" s="2" t="s">
        <v>32</v>
      </c>
      <c r="C5" s="5" t="s">
        <v>33</v>
      </c>
    </row>
    <row r="6" spans="1:3" ht="15" customHeight="1" x14ac:dyDescent="0.3">
      <c r="A6" s="3" t="s">
        <v>34</v>
      </c>
      <c r="B6" s="2">
        <v>16</v>
      </c>
      <c r="C6" s="5" t="s">
        <v>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71"/>
  <sheetViews>
    <sheetView tabSelected="1" zoomScaleNormal="100" workbookViewId="0">
      <pane xSplit="3" ySplit="1" topLeftCell="D88" activePane="bottomRight" state="frozen"/>
      <selection pane="topRight" activeCell="D1" sqref="D1"/>
      <selection pane="bottomLeft" activeCell="A2" sqref="A2"/>
      <selection pane="bottomRight" activeCell="A99" sqref="A99"/>
    </sheetView>
  </sheetViews>
  <sheetFormatPr defaultColWidth="8.6640625" defaultRowHeight="14.4" x14ac:dyDescent="0.3"/>
  <cols>
    <col min="1" max="2" width="7" customWidth="1"/>
    <col min="3" max="3" width="9" customWidth="1"/>
    <col min="4" max="13" width="6" customWidth="1"/>
  </cols>
  <sheetData>
    <row r="1" spans="1:13" ht="15" customHeight="1" x14ac:dyDescent="0.3">
      <c r="A1" s="6" t="s">
        <v>36</v>
      </c>
      <c r="B1" s="6" t="s">
        <v>37</v>
      </c>
      <c r="C1" s="6" t="s">
        <v>38</v>
      </c>
      <c r="D1" s="6" t="s">
        <v>39</v>
      </c>
      <c r="E1" s="6" t="s">
        <v>40</v>
      </c>
      <c r="F1" s="6" t="s">
        <v>41</v>
      </c>
      <c r="G1" s="6" t="s">
        <v>42</v>
      </c>
      <c r="H1" s="6" t="s">
        <v>43</v>
      </c>
      <c r="I1" s="6" t="s">
        <v>44</v>
      </c>
      <c r="J1" s="6" t="s">
        <v>45</v>
      </c>
      <c r="K1" s="6" t="s">
        <v>46</v>
      </c>
      <c r="L1" s="6" t="s">
        <v>47</v>
      </c>
      <c r="M1" s="6"/>
    </row>
    <row r="2" spans="1:13" ht="15" customHeight="1" x14ac:dyDescent="0.3">
      <c r="A2" s="2">
        <v>1</v>
      </c>
      <c r="B2">
        <v>12</v>
      </c>
      <c r="C2" s="2">
        <f>IF($B2=Config!$B$2,1,0)</f>
        <v>1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55</v>
      </c>
    </row>
    <row r="3" spans="1:13" ht="15" customHeight="1" x14ac:dyDescent="0.3">
      <c r="A3" s="2">
        <v>2</v>
      </c>
      <c r="B3">
        <v>12</v>
      </c>
      <c r="C3" s="2">
        <f>IF($B3=Config!$B$2,1,0)</f>
        <v>1</v>
      </c>
      <c r="D3" t="s">
        <v>48</v>
      </c>
      <c r="E3" t="s">
        <v>49</v>
      </c>
      <c r="F3" t="s">
        <v>50</v>
      </c>
      <c r="G3" t="s">
        <v>56</v>
      </c>
      <c r="H3" t="s">
        <v>57</v>
      </c>
      <c r="I3" t="s">
        <v>58</v>
      </c>
      <c r="J3" t="s">
        <v>59</v>
      </c>
      <c r="K3" t="s">
        <v>60</v>
      </c>
    </row>
    <row r="4" spans="1:13" ht="15" customHeight="1" x14ac:dyDescent="0.3">
      <c r="A4" s="2">
        <v>3</v>
      </c>
      <c r="B4">
        <v>12</v>
      </c>
      <c r="C4" s="2">
        <f>IF($B4=Config!$B$2,1,0)</f>
        <v>1</v>
      </c>
      <c r="D4" t="s">
        <v>48</v>
      </c>
      <c r="E4" t="s">
        <v>49</v>
      </c>
      <c r="F4" t="s">
        <v>50</v>
      </c>
      <c r="G4" t="s">
        <v>56</v>
      </c>
      <c r="H4" t="s">
        <v>52</v>
      </c>
      <c r="I4" t="s">
        <v>60</v>
      </c>
      <c r="J4" t="s">
        <v>61</v>
      </c>
      <c r="K4" t="s">
        <v>62</v>
      </c>
    </row>
    <row r="5" spans="1:13" ht="15" customHeight="1" x14ac:dyDescent="0.3">
      <c r="A5" s="2">
        <v>4</v>
      </c>
      <c r="B5">
        <v>12</v>
      </c>
      <c r="C5" s="2">
        <f>IF($B5=Config!$B$2,1,0)</f>
        <v>1</v>
      </c>
      <c r="D5" t="s">
        <v>48</v>
      </c>
      <c r="E5" t="s">
        <v>49</v>
      </c>
      <c r="F5" t="s">
        <v>50</v>
      </c>
      <c r="G5" t="s">
        <v>51</v>
      </c>
      <c r="H5" t="s">
        <v>52</v>
      </c>
      <c r="I5" t="s">
        <v>63</v>
      </c>
      <c r="J5" t="s">
        <v>64</v>
      </c>
      <c r="K5" t="s">
        <v>55</v>
      </c>
    </row>
    <row r="6" spans="1:13" ht="15" customHeight="1" x14ac:dyDescent="0.3">
      <c r="A6" s="2">
        <v>5</v>
      </c>
      <c r="B6">
        <v>12</v>
      </c>
      <c r="C6" s="2">
        <f>IF($B6=Config!$B$2,1,0)</f>
        <v>1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59</v>
      </c>
      <c r="J6" t="s">
        <v>64</v>
      </c>
      <c r="K6" t="s">
        <v>55</v>
      </c>
    </row>
    <row r="7" spans="1:13" ht="15" customHeight="1" x14ac:dyDescent="0.3">
      <c r="A7" s="2">
        <v>6</v>
      </c>
      <c r="B7">
        <v>12</v>
      </c>
      <c r="C7" s="2">
        <f>IF($B7=Config!$B$2,1,0)</f>
        <v>1</v>
      </c>
      <c r="D7" t="s">
        <v>48</v>
      </c>
      <c r="E7" t="s">
        <v>49</v>
      </c>
      <c r="F7" t="s">
        <v>50</v>
      </c>
      <c r="G7" t="s">
        <v>51</v>
      </c>
      <c r="H7" t="s">
        <v>52</v>
      </c>
      <c r="I7" t="s">
        <v>65</v>
      </c>
      <c r="J7" t="s">
        <v>60</v>
      </c>
      <c r="K7" t="s">
        <v>64</v>
      </c>
      <c r="L7" t="s">
        <v>55</v>
      </c>
    </row>
    <row r="8" spans="1:13" ht="15" customHeight="1" x14ac:dyDescent="0.3">
      <c r="A8" s="2">
        <v>7</v>
      </c>
      <c r="B8">
        <v>12</v>
      </c>
      <c r="C8" s="2">
        <f>IF($B8=Config!$B$2,1,0)</f>
        <v>1</v>
      </c>
      <c r="D8" t="s">
        <v>48</v>
      </c>
      <c r="E8" t="s">
        <v>49</v>
      </c>
      <c r="F8" t="s">
        <v>50</v>
      </c>
      <c r="G8" t="s">
        <v>51</v>
      </c>
      <c r="H8" t="s">
        <v>52</v>
      </c>
      <c r="I8" t="s">
        <v>60</v>
      </c>
      <c r="J8" t="s">
        <v>64</v>
      </c>
      <c r="K8" t="s">
        <v>55</v>
      </c>
    </row>
    <row r="9" spans="1:13" ht="15" customHeight="1" x14ac:dyDescent="0.3">
      <c r="A9" s="2">
        <v>8</v>
      </c>
      <c r="B9">
        <v>12</v>
      </c>
      <c r="C9" s="2">
        <f>IF($B9=Config!$B$2,1,0)</f>
        <v>1</v>
      </c>
      <c r="D9" t="s">
        <v>48</v>
      </c>
      <c r="E9" t="s">
        <v>49</v>
      </c>
      <c r="F9" t="s">
        <v>50</v>
      </c>
      <c r="G9" t="s">
        <v>51</v>
      </c>
      <c r="H9" t="s">
        <v>52</v>
      </c>
      <c r="I9" t="s">
        <v>53</v>
      </c>
      <c r="J9" t="s">
        <v>64</v>
      </c>
      <c r="K9" t="s">
        <v>55</v>
      </c>
    </row>
    <row r="10" spans="1:13" ht="15" customHeight="1" x14ac:dyDescent="0.3">
      <c r="A10" s="2">
        <v>9</v>
      </c>
      <c r="B10">
        <v>12</v>
      </c>
      <c r="C10" s="2">
        <f>IF($B10=Config!$B$2,1,0)</f>
        <v>1</v>
      </c>
      <c r="D10" t="s">
        <v>48</v>
      </c>
      <c r="E10" t="s">
        <v>49</v>
      </c>
      <c r="F10" t="s">
        <v>50</v>
      </c>
      <c r="G10" t="s">
        <v>56</v>
      </c>
      <c r="H10" t="s">
        <v>52</v>
      </c>
      <c r="I10" t="s">
        <v>58</v>
      </c>
      <c r="J10" t="s">
        <v>61</v>
      </c>
      <c r="K10" t="s">
        <v>64</v>
      </c>
    </row>
    <row r="11" spans="1:13" ht="15" customHeight="1" x14ac:dyDescent="0.3">
      <c r="A11" s="2">
        <v>10</v>
      </c>
      <c r="B11">
        <v>12</v>
      </c>
      <c r="C11" s="2">
        <f>IF($B11=Config!$B$2,1,0)</f>
        <v>1</v>
      </c>
      <c r="D11" t="s">
        <v>48</v>
      </c>
      <c r="E11" t="s">
        <v>49</v>
      </c>
      <c r="F11" t="s">
        <v>50</v>
      </c>
      <c r="G11" t="s">
        <v>51</v>
      </c>
      <c r="H11" t="s">
        <v>52</v>
      </c>
      <c r="I11" t="s">
        <v>64</v>
      </c>
      <c r="J11" t="s">
        <v>55</v>
      </c>
      <c r="K11" t="s">
        <v>62</v>
      </c>
    </row>
    <row r="12" spans="1:13" ht="15" customHeight="1" x14ac:dyDescent="0.3">
      <c r="A12" s="2">
        <v>11</v>
      </c>
      <c r="B12">
        <v>12</v>
      </c>
      <c r="C12" s="2">
        <f>IF($B12=Config!$B$2,1,0)</f>
        <v>1</v>
      </c>
      <c r="D12" t="s">
        <v>48</v>
      </c>
      <c r="E12" t="s">
        <v>49</v>
      </c>
      <c r="F12" t="s">
        <v>50</v>
      </c>
      <c r="G12" t="s">
        <v>56</v>
      </c>
      <c r="H12" t="s">
        <v>52</v>
      </c>
      <c r="I12" t="s">
        <v>58</v>
      </c>
      <c r="J12" t="s">
        <v>60</v>
      </c>
      <c r="K12" t="s">
        <v>63</v>
      </c>
    </row>
    <row r="13" spans="1:13" ht="15" customHeight="1" x14ac:dyDescent="0.3">
      <c r="A13" s="2">
        <v>12</v>
      </c>
      <c r="B13">
        <v>12</v>
      </c>
      <c r="C13" s="2">
        <f>IF($B13=Config!$B$2,1,0)</f>
        <v>1</v>
      </c>
      <c r="D13" t="s">
        <v>48</v>
      </c>
      <c r="E13" t="s">
        <v>49</v>
      </c>
      <c r="F13" t="s">
        <v>50</v>
      </c>
      <c r="G13" t="s">
        <v>51</v>
      </c>
      <c r="H13" t="s">
        <v>52</v>
      </c>
      <c r="I13" t="s">
        <v>63</v>
      </c>
      <c r="J13" t="s">
        <v>66</v>
      </c>
      <c r="K13" t="s">
        <v>55</v>
      </c>
    </row>
    <row r="14" spans="1:13" ht="15" customHeight="1" x14ac:dyDescent="0.3">
      <c r="A14" s="2">
        <v>13</v>
      </c>
      <c r="B14">
        <v>12</v>
      </c>
      <c r="C14" s="2">
        <f>IF($B14=Config!$B$2,1,0)</f>
        <v>1</v>
      </c>
      <c r="D14" t="s">
        <v>48</v>
      </c>
      <c r="E14" t="s">
        <v>49</v>
      </c>
      <c r="F14" t="s">
        <v>50</v>
      </c>
      <c r="G14" t="s">
        <v>51</v>
      </c>
      <c r="H14" t="s">
        <v>52</v>
      </c>
      <c r="I14" t="s">
        <v>60</v>
      </c>
      <c r="J14" t="s">
        <v>54</v>
      </c>
      <c r="K14" t="s">
        <v>62</v>
      </c>
    </row>
    <row r="15" spans="1:13" ht="15" customHeight="1" x14ac:dyDescent="0.3">
      <c r="A15" s="2">
        <v>14</v>
      </c>
      <c r="B15">
        <v>12</v>
      </c>
      <c r="C15" s="2">
        <f>IF($B15=Config!$B$2,1,0)</f>
        <v>1</v>
      </c>
      <c r="D15" t="s">
        <v>48</v>
      </c>
      <c r="E15" t="s">
        <v>49</v>
      </c>
      <c r="F15" t="s">
        <v>50</v>
      </c>
      <c r="G15" t="s">
        <v>51</v>
      </c>
      <c r="H15" t="s">
        <v>52</v>
      </c>
      <c r="I15" t="s">
        <v>65</v>
      </c>
      <c r="J15" t="s">
        <v>58</v>
      </c>
      <c r="K15" t="s">
        <v>61</v>
      </c>
      <c r="L15" t="s">
        <v>55</v>
      </c>
    </row>
    <row r="16" spans="1:13" ht="15" customHeight="1" x14ac:dyDescent="0.3">
      <c r="A16" s="2">
        <v>15</v>
      </c>
      <c r="B16">
        <v>12</v>
      </c>
      <c r="C16" s="2">
        <f>IF($B16=Config!$B$2,1,0)</f>
        <v>1</v>
      </c>
      <c r="D16" t="s">
        <v>48</v>
      </c>
      <c r="E16" t="s">
        <v>49</v>
      </c>
      <c r="F16" t="s">
        <v>50</v>
      </c>
      <c r="G16" t="s">
        <v>51</v>
      </c>
      <c r="H16" t="s">
        <v>52</v>
      </c>
      <c r="I16" t="s">
        <v>58</v>
      </c>
      <c r="J16" t="s">
        <v>61</v>
      </c>
      <c r="K16" t="s">
        <v>55</v>
      </c>
    </row>
    <row r="17" spans="1:12" ht="15" customHeight="1" x14ac:dyDescent="0.3">
      <c r="A17" s="2">
        <v>16</v>
      </c>
      <c r="B17">
        <v>12</v>
      </c>
      <c r="C17" s="2">
        <f>IF($B17=Config!$B$2,1,0)</f>
        <v>1</v>
      </c>
      <c r="D17" t="s">
        <v>48</v>
      </c>
      <c r="E17" t="s">
        <v>49</v>
      </c>
      <c r="F17" t="s">
        <v>50</v>
      </c>
      <c r="G17" t="s">
        <v>56</v>
      </c>
      <c r="H17" t="s">
        <v>57</v>
      </c>
      <c r="I17" t="s">
        <v>58</v>
      </c>
      <c r="J17" t="s">
        <v>67</v>
      </c>
      <c r="K17" t="s">
        <v>64</v>
      </c>
    </row>
    <row r="18" spans="1:12" ht="15" customHeight="1" x14ac:dyDescent="0.3">
      <c r="A18" s="2">
        <v>17</v>
      </c>
      <c r="B18">
        <v>12</v>
      </c>
      <c r="C18" s="2">
        <f>IF($B18=Config!$B$2,1,0)</f>
        <v>1</v>
      </c>
      <c r="D18" t="s">
        <v>48</v>
      </c>
      <c r="E18" t="s">
        <v>49</v>
      </c>
      <c r="F18" t="s">
        <v>50</v>
      </c>
      <c r="G18" t="s">
        <v>51</v>
      </c>
      <c r="H18" t="s">
        <v>52</v>
      </c>
      <c r="I18" t="s">
        <v>65</v>
      </c>
      <c r="J18" t="s">
        <v>58</v>
      </c>
      <c r="K18" t="s">
        <v>55</v>
      </c>
    </row>
    <row r="19" spans="1:12" ht="15" customHeight="1" x14ac:dyDescent="0.3">
      <c r="A19" s="2">
        <v>18</v>
      </c>
      <c r="B19">
        <v>12</v>
      </c>
      <c r="C19" s="2">
        <f>IF($B19=Config!$B$2,1,0)</f>
        <v>1</v>
      </c>
      <c r="D19" t="s">
        <v>48</v>
      </c>
      <c r="E19" t="s">
        <v>49</v>
      </c>
      <c r="F19" t="s">
        <v>50</v>
      </c>
      <c r="G19" t="s">
        <v>56</v>
      </c>
      <c r="H19" t="s">
        <v>52</v>
      </c>
      <c r="I19" t="s">
        <v>58</v>
      </c>
      <c r="J19" t="s">
        <v>59</v>
      </c>
      <c r="K19" t="s">
        <v>64</v>
      </c>
    </row>
    <row r="20" spans="1:12" ht="15" customHeight="1" x14ac:dyDescent="0.3">
      <c r="A20" s="2">
        <v>19</v>
      </c>
      <c r="B20">
        <v>12</v>
      </c>
      <c r="C20" s="2">
        <f>IF($B20=Config!$B$2,1,0)</f>
        <v>1</v>
      </c>
      <c r="D20" t="s">
        <v>48</v>
      </c>
      <c r="E20" t="s">
        <v>49</v>
      </c>
      <c r="F20" t="s">
        <v>50</v>
      </c>
      <c r="G20" t="s">
        <v>56</v>
      </c>
      <c r="H20" t="s">
        <v>52</v>
      </c>
      <c r="I20" t="s">
        <v>53</v>
      </c>
      <c r="J20" t="s">
        <v>67</v>
      </c>
      <c r="K20" t="s">
        <v>62</v>
      </c>
    </row>
    <row r="21" spans="1:12" ht="15" customHeight="1" x14ac:dyDescent="0.3">
      <c r="A21" s="2">
        <v>20</v>
      </c>
      <c r="B21">
        <v>12</v>
      </c>
      <c r="C21" s="2">
        <f>IF($B21=Config!$B$2,1,0)</f>
        <v>1</v>
      </c>
      <c r="D21" t="s">
        <v>48</v>
      </c>
      <c r="E21" t="s">
        <v>49</v>
      </c>
      <c r="F21" t="s">
        <v>50</v>
      </c>
      <c r="G21" t="s">
        <v>56</v>
      </c>
      <c r="H21" t="s">
        <v>52</v>
      </c>
      <c r="I21" t="s">
        <v>58</v>
      </c>
      <c r="J21" t="s">
        <v>59</v>
      </c>
      <c r="K21" t="s">
        <v>67</v>
      </c>
    </row>
    <row r="22" spans="1:12" ht="15" customHeight="1" x14ac:dyDescent="0.3">
      <c r="A22" s="2">
        <v>21</v>
      </c>
      <c r="B22">
        <v>12</v>
      </c>
      <c r="C22" s="2">
        <f>IF($B22=Config!$B$2,1,0)</f>
        <v>1</v>
      </c>
      <c r="D22" t="s">
        <v>48</v>
      </c>
      <c r="E22" t="s">
        <v>49</v>
      </c>
      <c r="F22" t="s">
        <v>50</v>
      </c>
      <c r="G22" t="s">
        <v>56</v>
      </c>
      <c r="H22" t="s">
        <v>57</v>
      </c>
      <c r="I22" t="s">
        <v>58</v>
      </c>
      <c r="J22" t="s">
        <v>59</v>
      </c>
      <c r="K22" t="s">
        <v>61</v>
      </c>
    </row>
    <row r="23" spans="1:12" ht="15" customHeight="1" x14ac:dyDescent="0.3">
      <c r="A23" s="2">
        <v>22</v>
      </c>
      <c r="B23">
        <v>12</v>
      </c>
      <c r="C23" s="2">
        <f>IF($B23=Config!$B$2,1,0)</f>
        <v>1</v>
      </c>
      <c r="D23" t="s">
        <v>48</v>
      </c>
      <c r="E23" t="s">
        <v>49</v>
      </c>
      <c r="F23" t="s">
        <v>50</v>
      </c>
      <c r="G23" t="s">
        <v>51</v>
      </c>
      <c r="H23" t="s">
        <v>52</v>
      </c>
      <c r="I23" t="s">
        <v>58</v>
      </c>
      <c r="J23" t="s">
        <v>53</v>
      </c>
      <c r="K23" t="s">
        <v>63</v>
      </c>
      <c r="L23" t="s">
        <v>55</v>
      </c>
    </row>
    <row r="24" spans="1:12" ht="15" customHeight="1" x14ac:dyDescent="0.3">
      <c r="A24" s="2">
        <v>23</v>
      </c>
      <c r="B24">
        <v>12</v>
      </c>
      <c r="C24" s="2">
        <f>IF($B24=Config!$B$2,1,0)</f>
        <v>1</v>
      </c>
      <c r="D24" t="s">
        <v>48</v>
      </c>
      <c r="E24" t="s">
        <v>49</v>
      </c>
      <c r="F24" t="s">
        <v>50</v>
      </c>
      <c r="G24" t="s">
        <v>51</v>
      </c>
      <c r="H24" t="s">
        <v>52</v>
      </c>
      <c r="I24" t="s">
        <v>60</v>
      </c>
      <c r="J24" t="s">
        <v>54</v>
      </c>
      <c r="K24" t="s">
        <v>55</v>
      </c>
    </row>
    <row r="25" spans="1:12" ht="15" customHeight="1" x14ac:dyDescent="0.3">
      <c r="A25" s="2">
        <v>24</v>
      </c>
      <c r="B25">
        <v>12</v>
      </c>
      <c r="C25" s="2">
        <f>IF($B25=Config!$B$2,1,0)</f>
        <v>1</v>
      </c>
      <c r="D25" t="s">
        <v>48</v>
      </c>
      <c r="E25" t="s">
        <v>49</v>
      </c>
      <c r="F25" t="s">
        <v>50</v>
      </c>
      <c r="G25" t="s">
        <v>51</v>
      </c>
      <c r="H25" t="s">
        <v>57</v>
      </c>
      <c r="I25" t="s">
        <v>64</v>
      </c>
      <c r="J25" t="s">
        <v>55</v>
      </c>
      <c r="K25" t="s">
        <v>62</v>
      </c>
    </row>
    <row r="26" spans="1:12" ht="15" customHeight="1" x14ac:dyDescent="0.3">
      <c r="A26" s="2">
        <v>25</v>
      </c>
      <c r="B26">
        <v>12</v>
      </c>
      <c r="C26" s="2">
        <f>IF($B26=Config!$B$2,1,0)</f>
        <v>1</v>
      </c>
      <c r="D26" t="s">
        <v>48</v>
      </c>
      <c r="E26" t="s">
        <v>49</v>
      </c>
      <c r="F26" t="s">
        <v>50</v>
      </c>
      <c r="G26" t="s">
        <v>51</v>
      </c>
      <c r="H26" t="s">
        <v>52</v>
      </c>
      <c r="I26" t="s">
        <v>54</v>
      </c>
      <c r="J26" t="s">
        <v>64</v>
      </c>
      <c r="K26" t="s">
        <v>55</v>
      </c>
    </row>
    <row r="27" spans="1:12" ht="15" customHeight="1" x14ac:dyDescent="0.3">
      <c r="A27" s="2">
        <v>26</v>
      </c>
      <c r="B27">
        <v>12</v>
      </c>
      <c r="C27" s="2">
        <f>IF($B27=Config!$B$2,1,0)</f>
        <v>1</v>
      </c>
      <c r="D27" t="s">
        <v>48</v>
      </c>
      <c r="E27" t="s">
        <v>49</v>
      </c>
      <c r="F27" t="s">
        <v>50</v>
      </c>
      <c r="G27" t="s">
        <v>51</v>
      </c>
      <c r="H27" t="s">
        <v>52</v>
      </c>
      <c r="I27" t="s">
        <v>67</v>
      </c>
      <c r="J27" t="s">
        <v>64</v>
      </c>
      <c r="K27" t="s">
        <v>55</v>
      </c>
    </row>
    <row r="28" spans="1:12" ht="15" customHeight="1" x14ac:dyDescent="0.3">
      <c r="A28" s="2">
        <v>27</v>
      </c>
      <c r="B28">
        <v>12</v>
      </c>
      <c r="C28" s="2">
        <f>IF($B28=Config!$B$2,1,0)</f>
        <v>1</v>
      </c>
      <c r="D28" t="s">
        <v>48</v>
      </c>
      <c r="E28" t="s">
        <v>49</v>
      </c>
      <c r="F28" t="s">
        <v>50</v>
      </c>
      <c r="G28" t="s">
        <v>56</v>
      </c>
      <c r="H28" t="s">
        <v>57</v>
      </c>
      <c r="I28" t="s">
        <v>58</v>
      </c>
      <c r="J28" t="s">
        <v>60</v>
      </c>
      <c r="K28" t="s">
        <v>64</v>
      </c>
    </row>
    <row r="29" spans="1:12" ht="15" customHeight="1" x14ac:dyDescent="0.3">
      <c r="A29" s="2">
        <v>28</v>
      </c>
      <c r="B29">
        <v>12</v>
      </c>
      <c r="C29" s="2">
        <f>IF($B29=Config!$B$2,1,0)</f>
        <v>1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58</v>
      </c>
      <c r="J29" t="s">
        <v>53</v>
      </c>
      <c r="K29" t="s">
        <v>55</v>
      </c>
    </row>
    <row r="30" spans="1:12" ht="15" customHeight="1" x14ac:dyDescent="0.3">
      <c r="A30" s="2">
        <v>29</v>
      </c>
      <c r="B30">
        <v>12</v>
      </c>
      <c r="C30" s="2">
        <f>IF($B30=Config!$B$2,1,0)</f>
        <v>1</v>
      </c>
      <c r="D30" t="s">
        <v>48</v>
      </c>
      <c r="E30" t="s">
        <v>49</v>
      </c>
      <c r="F30" t="s">
        <v>50</v>
      </c>
      <c r="G30" t="s">
        <v>51</v>
      </c>
      <c r="H30" t="s">
        <v>52</v>
      </c>
      <c r="I30" t="s">
        <v>65</v>
      </c>
      <c r="J30" t="s">
        <v>64</v>
      </c>
      <c r="K30" t="s">
        <v>55</v>
      </c>
    </row>
    <row r="31" spans="1:12" ht="15" customHeight="1" x14ac:dyDescent="0.3">
      <c r="A31" s="2">
        <v>30</v>
      </c>
      <c r="B31">
        <v>12</v>
      </c>
      <c r="C31" s="2">
        <f>IF($B31=Config!$B$2,1,0)</f>
        <v>1</v>
      </c>
      <c r="D31" t="s">
        <v>48</v>
      </c>
      <c r="E31" t="s">
        <v>49</v>
      </c>
      <c r="F31" t="s">
        <v>50</v>
      </c>
      <c r="G31" t="s">
        <v>56</v>
      </c>
      <c r="H31" t="s">
        <v>52</v>
      </c>
      <c r="I31" t="s">
        <v>58</v>
      </c>
      <c r="J31" t="s">
        <v>60</v>
      </c>
      <c r="K31" t="s">
        <v>61</v>
      </c>
    </row>
    <row r="32" spans="1:12" ht="15" customHeight="1" x14ac:dyDescent="0.3">
      <c r="A32" s="2">
        <v>31</v>
      </c>
      <c r="B32">
        <v>12</v>
      </c>
      <c r="C32" s="2">
        <f>IF($B32=Config!$B$2,1,0)</f>
        <v>1</v>
      </c>
      <c r="D32" t="s">
        <v>48</v>
      </c>
      <c r="E32" t="s">
        <v>49</v>
      </c>
      <c r="F32" t="s">
        <v>50</v>
      </c>
      <c r="G32" t="s">
        <v>56</v>
      </c>
      <c r="H32" t="s">
        <v>52</v>
      </c>
      <c r="I32" t="s">
        <v>58</v>
      </c>
      <c r="J32" t="s">
        <v>61</v>
      </c>
      <c r="K32" t="s">
        <v>62</v>
      </c>
    </row>
    <row r="33" spans="1:12" ht="15" customHeight="1" x14ac:dyDescent="0.3">
      <c r="A33" s="2">
        <v>32</v>
      </c>
      <c r="B33">
        <v>12</v>
      </c>
      <c r="C33" s="2">
        <f>IF($B33=Config!$B$2,1,0)</f>
        <v>1</v>
      </c>
      <c r="D33" t="s">
        <v>48</v>
      </c>
      <c r="E33" t="s">
        <v>49</v>
      </c>
      <c r="F33" t="s">
        <v>50</v>
      </c>
      <c r="G33" t="s">
        <v>56</v>
      </c>
      <c r="H33" t="s">
        <v>52</v>
      </c>
      <c r="I33" t="s">
        <v>58</v>
      </c>
      <c r="J33" t="s">
        <v>67</v>
      </c>
      <c r="K33" t="s">
        <v>61</v>
      </c>
    </row>
    <row r="34" spans="1:12" ht="15" customHeight="1" x14ac:dyDescent="0.3">
      <c r="A34" s="2">
        <v>33</v>
      </c>
      <c r="B34">
        <v>12</v>
      </c>
      <c r="C34" s="2">
        <f>IF($B34=Config!$B$2,1,0)</f>
        <v>1</v>
      </c>
      <c r="D34" t="s">
        <v>48</v>
      </c>
      <c r="E34" t="s">
        <v>49</v>
      </c>
      <c r="F34" t="s">
        <v>50</v>
      </c>
      <c r="G34" t="s">
        <v>51</v>
      </c>
      <c r="H34" t="s">
        <v>52</v>
      </c>
      <c r="I34" t="s">
        <v>65</v>
      </c>
      <c r="J34" t="s">
        <v>58</v>
      </c>
      <c r="K34" t="s">
        <v>55</v>
      </c>
    </row>
    <row r="35" spans="1:12" ht="15" customHeight="1" x14ac:dyDescent="0.3">
      <c r="A35" s="2">
        <v>34</v>
      </c>
      <c r="B35">
        <v>12</v>
      </c>
      <c r="C35" s="2">
        <f>IF($B35=Config!$B$2,1,0)</f>
        <v>1</v>
      </c>
      <c r="D35" t="s">
        <v>48</v>
      </c>
      <c r="E35" t="s">
        <v>49</v>
      </c>
      <c r="F35" t="s">
        <v>50</v>
      </c>
      <c r="G35" t="s">
        <v>51</v>
      </c>
      <c r="H35" t="s">
        <v>58</v>
      </c>
      <c r="I35" t="s">
        <v>67</v>
      </c>
      <c r="J35" t="s">
        <v>64</v>
      </c>
      <c r="K35" t="s">
        <v>55</v>
      </c>
    </row>
    <row r="36" spans="1:12" ht="15" customHeight="1" x14ac:dyDescent="0.3">
      <c r="A36" s="2">
        <v>35</v>
      </c>
      <c r="B36">
        <v>12</v>
      </c>
      <c r="C36" s="2">
        <f>IF($B36=Config!$B$2,1,0)</f>
        <v>1</v>
      </c>
      <c r="D36" t="s">
        <v>48</v>
      </c>
      <c r="E36" t="s">
        <v>49</v>
      </c>
      <c r="F36" t="s">
        <v>50</v>
      </c>
      <c r="G36" t="s">
        <v>51</v>
      </c>
      <c r="H36" t="s">
        <v>52</v>
      </c>
      <c r="I36" t="s">
        <v>63</v>
      </c>
      <c r="J36" t="s">
        <v>54</v>
      </c>
      <c r="K36" t="s">
        <v>55</v>
      </c>
      <c r="L36" t="s">
        <v>62</v>
      </c>
    </row>
    <row r="37" spans="1:12" ht="15" customHeight="1" x14ac:dyDescent="0.3">
      <c r="A37" s="2">
        <v>36</v>
      </c>
      <c r="B37">
        <v>12</v>
      </c>
      <c r="C37" s="2">
        <f>IF($B37=Config!$B$2,1,0)</f>
        <v>1</v>
      </c>
      <c r="D37" t="s">
        <v>48</v>
      </c>
      <c r="E37" t="s">
        <v>49</v>
      </c>
      <c r="F37" t="s">
        <v>50</v>
      </c>
      <c r="G37" t="s">
        <v>56</v>
      </c>
      <c r="H37" t="s">
        <v>52</v>
      </c>
      <c r="I37" t="s">
        <v>58</v>
      </c>
      <c r="J37" t="s">
        <v>61</v>
      </c>
      <c r="K37" t="s">
        <v>64</v>
      </c>
    </row>
    <row r="38" spans="1:12" ht="15" customHeight="1" x14ac:dyDescent="0.3">
      <c r="A38" s="2">
        <v>37</v>
      </c>
      <c r="B38">
        <v>12</v>
      </c>
      <c r="C38" s="2">
        <f>IF($B38=Config!$B$2,1,0)</f>
        <v>1</v>
      </c>
      <c r="D38" t="s">
        <v>48</v>
      </c>
      <c r="E38" t="s">
        <v>49</v>
      </c>
      <c r="F38" t="s">
        <v>50</v>
      </c>
      <c r="G38" t="s">
        <v>56</v>
      </c>
      <c r="H38" t="s">
        <v>52</v>
      </c>
      <c r="I38" t="s">
        <v>65</v>
      </c>
      <c r="J38" t="s">
        <v>58</v>
      </c>
      <c r="K38" t="s">
        <v>62</v>
      </c>
    </row>
    <row r="39" spans="1:12" ht="15" customHeight="1" x14ac:dyDescent="0.3">
      <c r="A39" s="2">
        <v>38</v>
      </c>
      <c r="B39">
        <v>12</v>
      </c>
      <c r="C39" s="2">
        <f>IF($B39=Config!$B$2,1,0)</f>
        <v>1</v>
      </c>
      <c r="D39" t="s">
        <v>48</v>
      </c>
      <c r="E39" t="s">
        <v>49</v>
      </c>
      <c r="F39" t="s">
        <v>50</v>
      </c>
      <c r="G39" t="s">
        <v>51</v>
      </c>
      <c r="H39" t="s">
        <v>52</v>
      </c>
      <c r="I39" t="s">
        <v>63</v>
      </c>
      <c r="J39" t="s">
        <v>64</v>
      </c>
      <c r="K39" t="s">
        <v>55</v>
      </c>
    </row>
    <row r="40" spans="1:12" ht="15" customHeight="1" x14ac:dyDescent="0.3">
      <c r="A40" s="2">
        <v>39</v>
      </c>
      <c r="B40">
        <v>12</v>
      </c>
      <c r="C40" s="2">
        <f>IF($B40=Config!$B$2,1,0)</f>
        <v>1</v>
      </c>
      <c r="D40" t="s">
        <v>48</v>
      </c>
      <c r="E40" t="s">
        <v>49</v>
      </c>
      <c r="F40" t="s">
        <v>50</v>
      </c>
      <c r="G40" t="s">
        <v>51</v>
      </c>
      <c r="H40" t="s">
        <v>52</v>
      </c>
      <c r="I40" t="s">
        <v>63</v>
      </c>
      <c r="J40" t="s">
        <v>54</v>
      </c>
      <c r="K40" t="s">
        <v>55</v>
      </c>
    </row>
    <row r="41" spans="1:12" ht="15" customHeight="1" x14ac:dyDescent="0.3">
      <c r="A41" s="2">
        <v>40</v>
      </c>
      <c r="B41">
        <v>12</v>
      </c>
      <c r="C41" s="2">
        <f>IF($B41=Config!$B$2,1,0)</f>
        <v>1</v>
      </c>
      <c r="D41" t="s">
        <v>48</v>
      </c>
      <c r="E41" t="s">
        <v>49</v>
      </c>
      <c r="F41" t="s">
        <v>50</v>
      </c>
      <c r="G41" t="s">
        <v>51</v>
      </c>
      <c r="H41" t="s">
        <v>52</v>
      </c>
      <c r="I41" t="s">
        <v>63</v>
      </c>
      <c r="J41" t="s">
        <v>54</v>
      </c>
      <c r="K41" t="s">
        <v>55</v>
      </c>
    </row>
    <row r="42" spans="1:12" ht="15" customHeight="1" x14ac:dyDescent="0.3">
      <c r="A42" s="2">
        <v>41</v>
      </c>
      <c r="B42">
        <v>12</v>
      </c>
      <c r="C42" s="2">
        <f>IF($B42=Config!$B$2,1,0)</f>
        <v>1</v>
      </c>
      <c r="D42" t="s">
        <v>48</v>
      </c>
      <c r="E42" t="s">
        <v>49</v>
      </c>
      <c r="F42" t="s">
        <v>50</v>
      </c>
      <c r="G42" t="s">
        <v>56</v>
      </c>
      <c r="H42" t="s">
        <v>52</v>
      </c>
      <c r="I42" t="s">
        <v>58</v>
      </c>
      <c r="J42" t="s">
        <v>59</v>
      </c>
      <c r="K42" t="s">
        <v>61</v>
      </c>
    </row>
    <row r="43" spans="1:12" ht="15" customHeight="1" x14ac:dyDescent="0.3">
      <c r="A43" s="2">
        <v>42</v>
      </c>
      <c r="B43">
        <v>12</v>
      </c>
      <c r="C43" s="2">
        <f>IF($B43=Config!$B$2,1,0)</f>
        <v>1</v>
      </c>
      <c r="D43" t="s">
        <v>48</v>
      </c>
      <c r="E43" t="s">
        <v>49</v>
      </c>
      <c r="F43" t="s">
        <v>50</v>
      </c>
      <c r="G43" t="s">
        <v>51</v>
      </c>
      <c r="H43" t="s">
        <v>52</v>
      </c>
      <c r="I43" t="s">
        <v>66</v>
      </c>
      <c r="J43" t="s">
        <v>55</v>
      </c>
      <c r="K43" t="s">
        <v>62</v>
      </c>
    </row>
    <row r="44" spans="1:12" ht="15" customHeight="1" x14ac:dyDescent="0.3">
      <c r="A44" s="2">
        <v>43</v>
      </c>
      <c r="B44">
        <v>12</v>
      </c>
      <c r="C44" s="2">
        <f>IF($B44=Config!$B$2,1,0)</f>
        <v>1</v>
      </c>
      <c r="D44" t="s">
        <v>48</v>
      </c>
      <c r="E44" t="s">
        <v>49</v>
      </c>
      <c r="F44" t="s">
        <v>50</v>
      </c>
      <c r="G44" t="s">
        <v>51</v>
      </c>
      <c r="H44" t="s">
        <v>52</v>
      </c>
      <c r="I44" t="s">
        <v>58</v>
      </c>
      <c r="J44" t="s">
        <v>64</v>
      </c>
      <c r="K44" t="s">
        <v>55</v>
      </c>
    </row>
    <row r="45" spans="1:12" ht="15" customHeight="1" x14ac:dyDescent="0.3">
      <c r="A45" s="2">
        <v>44</v>
      </c>
      <c r="B45">
        <v>12</v>
      </c>
      <c r="C45" s="2">
        <f>IF($B45=Config!$B$2,1,0)</f>
        <v>1</v>
      </c>
      <c r="D45" t="s">
        <v>48</v>
      </c>
      <c r="E45" t="s">
        <v>49</v>
      </c>
      <c r="F45" t="s">
        <v>50</v>
      </c>
      <c r="G45" t="s">
        <v>56</v>
      </c>
      <c r="H45" t="s">
        <v>52</v>
      </c>
      <c r="I45" t="s">
        <v>53</v>
      </c>
      <c r="J45" t="s">
        <v>63</v>
      </c>
      <c r="K45" t="s">
        <v>62</v>
      </c>
    </row>
    <row r="46" spans="1:12" ht="15" customHeight="1" x14ac:dyDescent="0.3">
      <c r="A46" s="2">
        <v>45</v>
      </c>
      <c r="B46">
        <v>12</v>
      </c>
      <c r="C46" s="2">
        <f>IF($B46=Config!$B$2,1,0)</f>
        <v>1</v>
      </c>
      <c r="D46" t="s">
        <v>48</v>
      </c>
      <c r="E46" t="s">
        <v>49</v>
      </c>
      <c r="F46" t="s">
        <v>50</v>
      </c>
      <c r="G46" t="s">
        <v>56</v>
      </c>
      <c r="H46" t="s">
        <v>57</v>
      </c>
      <c r="I46" t="s">
        <v>53</v>
      </c>
      <c r="J46" t="s">
        <v>61</v>
      </c>
      <c r="K46" t="s">
        <v>62</v>
      </c>
    </row>
    <row r="47" spans="1:12" ht="15" customHeight="1" x14ac:dyDescent="0.3">
      <c r="A47" s="2">
        <v>46</v>
      </c>
      <c r="B47">
        <v>12</v>
      </c>
      <c r="C47" s="2">
        <f>IF($B47=Config!$B$2,1,0)</f>
        <v>1</v>
      </c>
      <c r="D47" t="s">
        <v>48</v>
      </c>
      <c r="E47" t="s">
        <v>49</v>
      </c>
      <c r="F47" t="s">
        <v>50</v>
      </c>
      <c r="G47" t="s">
        <v>51</v>
      </c>
      <c r="H47" t="s">
        <v>52</v>
      </c>
      <c r="I47" t="s">
        <v>65</v>
      </c>
      <c r="J47" t="s">
        <v>63</v>
      </c>
      <c r="K47" t="s">
        <v>54</v>
      </c>
      <c r="L47" t="s">
        <v>55</v>
      </c>
    </row>
    <row r="48" spans="1:12" ht="15" customHeight="1" x14ac:dyDescent="0.3">
      <c r="A48" s="2">
        <v>47</v>
      </c>
      <c r="B48">
        <v>12</v>
      </c>
      <c r="C48" s="2">
        <f>IF($B48=Config!$B$2,1,0)</f>
        <v>1</v>
      </c>
      <c r="D48" t="s">
        <v>48</v>
      </c>
      <c r="E48" t="s">
        <v>49</v>
      </c>
      <c r="F48" t="s">
        <v>50</v>
      </c>
      <c r="G48" t="s">
        <v>51</v>
      </c>
      <c r="H48" t="s">
        <v>57</v>
      </c>
      <c r="I48" t="s">
        <v>58</v>
      </c>
      <c r="J48" t="s">
        <v>63</v>
      </c>
      <c r="K48" t="s">
        <v>62</v>
      </c>
    </row>
    <row r="49" spans="1:12" ht="15" customHeight="1" x14ac:dyDescent="0.3">
      <c r="A49" s="2">
        <v>48</v>
      </c>
      <c r="B49">
        <v>12</v>
      </c>
      <c r="C49" s="2">
        <f>IF($B49=Config!$B$2,1,0)</f>
        <v>1</v>
      </c>
      <c r="D49" t="s">
        <v>48</v>
      </c>
      <c r="E49" t="s">
        <v>49</v>
      </c>
      <c r="F49" t="s">
        <v>50</v>
      </c>
      <c r="G49" t="s">
        <v>51</v>
      </c>
      <c r="H49" t="s">
        <v>52</v>
      </c>
      <c r="I49" t="s">
        <v>65</v>
      </c>
      <c r="J49" t="s">
        <v>58</v>
      </c>
      <c r="K49" t="s">
        <v>53</v>
      </c>
    </row>
    <row r="50" spans="1:12" ht="15" customHeight="1" x14ac:dyDescent="0.3">
      <c r="A50" s="2">
        <v>49</v>
      </c>
      <c r="B50">
        <v>12</v>
      </c>
      <c r="C50" s="2">
        <f>IF($B50=Config!$B$2,1,0)</f>
        <v>1</v>
      </c>
      <c r="D50" t="s">
        <v>48</v>
      </c>
      <c r="E50" t="s">
        <v>49</v>
      </c>
      <c r="F50" t="s">
        <v>50</v>
      </c>
      <c r="G50" t="s">
        <v>51</v>
      </c>
      <c r="H50" t="s">
        <v>57</v>
      </c>
      <c r="I50" t="s">
        <v>60</v>
      </c>
      <c r="J50" t="s">
        <v>63</v>
      </c>
      <c r="K50" t="s">
        <v>66</v>
      </c>
      <c r="L50" t="s">
        <v>62</v>
      </c>
    </row>
    <row r="51" spans="1:12" ht="15" customHeight="1" x14ac:dyDescent="0.3">
      <c r="A51" s="2">
        <v>50</v>
      </c>
      <c r="B51">
        <v>12</v>
      </c>
      <c r="C51" s="2">
        <f>IF($B51=Config!$B$2,1,0)</f>
        <v>1</v>
      </c>
      <c r="D51" t="s">
        <v>48</v>
      </c>
      <c r="E51" t="s">
        <v>49</v>
      </c>
      <c r="F51" t="s">
        <v>50</v>
      </c>
      <c r="G51" t="s">
        <v>51</v>
      </c>
      <c r="H51" t="s">
        <v>52</v>
      </c>
      <c r="I51" t="s">
        <v>58</v>
      </c>
      <c r="J51" t="s">
        <v>64</v>
      </c>
      <c r="K51" t="s">
        <v>55</v>
      </c>
      <c r="L51" t="s">
        <v>62</v>
      </c>
    </row>
    <row r="52" spans="1:12" ht="15" customHeight="1" x14ac:dyDescent="0.3">
      <c r="A52" s="2">
        <v>51</v>
      </c>
      <c r="B52">
        <v>12</v>
      </c>
      <c r="C52" s="2">
        <f>IF($B52=Config!$B$2,1,0)</f>
        <v>1</v>
      </c>
      <c r="D52" t="s">
        <v>48</v>
      </c>
      <c r="E52" t="s">
        <v>49</v>
      </c>
      <c r="F52" t="s">
        <v>50</v>
      </c>
      <c r="G52" t="s">
        <v>51</v>
      </c>
      <c r="H52" t="s">
        <v>52</v>
      </c>
      <c r="I52" t="s">
        <v>65</v>
      </c>
      <c r="J52" t="s">
        <v>58</v>
      </c>
      <c r="K52" t="s">
        <v>60</v>
      </c>
    </row>
    <row r="53" spans="1:12" ht="15" customHeight="1" x14ac:dyDescent="0.3">
      <c r="A53" s="2">
        <v>52</v>
      </c>
      <c r="B53">
        <v>12</v>
      </c>
      <c r="C53" s="2">
        <f>IF($B53=Config!$B$2,1,0)</f>
        <v>1</v>
      </c>
      <c r="D53" t="s">
        <v>48</v>
      </c>
      <c r="E53" t="s">
        <v>49</v>
      </c>
      <c r="F53" t="s">
        <v>50</v>
      </c>
      <c r="G53" t="s">
        <v>51</v>
      </c>
      <c r="H53" t="s">
        <v>52</v>
      </c>
      <c r="I53" t="s">
        <v>65</v>
      </c>
      <c r="J53" t="s">
        <v>58</v>
      </c>
      <c r="K53" t="s">
        <v>61</v>
      </c>
    </row>
    <row r="54" spans="1:12" ht="15" customHeight="1" x14ac:dyDescent="0.3">
      <c r="A54" s="2">
        <v>53</v>
      </c>
      <c r="B54">
        <v>12</v>
      </c>
      <c r="C54" s="2">
        <f>IF($B54=Config!$B$2,1,0)</f>
        <v>1</v>
      </c>
      <c r="D54" t="s">
        <v>48</v>
      </c>
      <c r="E54" t="s">
        <v>49</v>
      </c>
      <c r="F54" t="s">
        <v>50</v>
      </c>
      <c r="G54" t="s">
        <v>56</v>
      </c>
      <c r="H54" t="s">
        <v>57</v>
      </c>
      <c r="I54" t="s">
        <v>60</v>
      </c>
      <c r="J54" t="s">
        <v>67</v>
      </c>
      <c r="K54" t="s">
        <v>62</v>
      </c>
    </row>
    <row r="55" spans="1:12" ht="15" customHeight="1" x14ac:dyDescent="0.3">
      <c r="A55" s="2">
        <v>54</v>
      </c>
      <c r="B55">
        <v>12</v>
      </c>
      <c r="C55" s="2">
        <f>IF($B55=Config!$B$2,1,0)</f>
        <v>1</v>
      </c>
      <c r="D55" t="s">
        <v>48</v>
      </c>
      <c r="E55" t="s">
        <v>49</v>
      </c>
      <c r="F55" t="s">
        <v>50</v>
      </c>
      <c r="G55" t="s">
        <v>56</v>
      </c>
      <c r="H55" t="s">
        <v>52</v>
      </c>
      <c r="I55" t="s">
        <v>58</v>
      </c>
      <c r="J55" t="s">
        <v>53</v>
      </c>
      <c r="K55" t="s">
        <v>59</v>
      </c>
      <c r="L55" t="s">
        <v>60</v>
      </c>
    </row>
    <row r="56" spans="1:12" ht="15" customHeight="1" x14ac:dyDescent="0.3">
      <c r="A56" s="2">
        <v>55</v>
      </c>
      <c r="B56">
        <v>12</v>
      </c>
      <c r="C56" s="2">
        <f>IF($B56=Config!$B$2,1,0)</f>
        <v>1</v>
      </c>
      <c r="D56" t="s">
        <v>48</v>
      </c>
      <c r="E56" t="s">
        <v>49</v>
      </c>
      <c r="F56" t="s">
        <v>50</v>
      </c>
      <c r="G56" t="s">
        <v>56</v>
      </c>
      <c r="H56" t="s">
        <v>52</v>
      </c>
      <c r="I56" t="s">
        <v>58</v>
      </c>
      <c r="J56" t="s">
        <v>67</v>
      </c>
      <c r="K56" t="s">
        <v>62</v>
      </c>
    </row>
    <row r="57" spans="1:12" ht="15" customHeight="1" x14ac:dyDescent="0.3">
      <c r="A57" s="2">
        <v>56</v>
      </c>
      <c r="B57">
        <v>12</v>
      </c>
      <c r="C57" s="2">
        <f>IF($B57=Config!$B$2,1,0)</f>
        <v>1</v>
      </c>
      <c r="D57" t="s">
        <v>48</v>
      </c>
      <c r="E57" t="s">
        <v>49</v>
      </c>
      <c r="F57" t="s">
        <v>50</v>
      </c>
      <c r="G57" t="s">
        <v>51</v>
      </c>
      <c r="H57" t="s">
        <v>52</v>
      </c>
      <c r="I57" t="s">
        <v>53</v>
      </c>
      <c r="J57" t="s">
        <v>54</v>
      </c>
      <c r="K57" t="s">
        <v>55</v>
      </c>
    </row>
    <row r="58" spans="1:12" ht="15" customHeight="1" x14ac:dyDescent="0.3">
      <c r="A58" s="2">
        <v>57</v>
      </c>
      <c r="B58">
        <v>12</v>
      </c>
      <c r="C58" s="2">
        <f>IF($B58=Config!$B$2,1,0)</f>
        <v>1</v>
      </c>
      <c r="D58" t="s">
        <v>48</v>
      </c>
      <c r="E58" t="s">
        <v>49</v>
      </c>
      <c r="F58" t="s">
        <v>50</v>
      </c>
      <c r="G58" t="s">
        <v>51</v>
      </c>
      <c r="H58" t="s">
        <v>52</v>
      </c>
      <c r="I58" t="s">
        <v>58</v>
      </c>
      <c r="J58" t="s">
        <v>64</v>
      </c>
      <c r="K58" t="s">
        <v>55</v>
      </c>
    </row>
    <row r="59" spans="1:12" ht="15" customHeight="1" x14ac:dyDescent="0.3">
      <c r="A59" s="2">
        <v>58</v>
      </c>
      <c r="B59">
        <v>12</v>
      </c>
      <c r="C59" s="2">
        <f>IF($B59=Config!$B$2,1,0)</f>
        <v>1</v>
      </c>
      <c r="D59" t="s">
        <v>48</v>
      </c>
      <c r="E59" t="s">
        <v>49</v>
      </c>
      <c r="F59" t="s">
        <v>50</v>
      </c>
      <c r="G59" t="s">
        <v>51</v>
      </c>
      <c r="H59" t="s">
        <v>52</v>
      </c>
      <c r="I59" t="s">
        <v>58</v>
      </c>
      <c r="J59" t="s">
        <v>53</v>
      </c>
      <c r="K59" t="s">
        <v>64</v>
      </c>
      <c r="L59" t="s">
        <v>55</v>
      </c>
    </row>
    <row r="60" spans="1:12" ht="15" customHeight="1" x14ac:dyDescent="0.3">
      <c r="A60" s="2">
        <v>59</v>
      </c>
      <c r="B60">
        <v>12</v>
      </c>
      <c r="C60" s="2">
        <f>IF($B60=Config!$B$2,1,0)</f>
        <v>1</v>
      </c>
      <c r="D60" t="s">
        <v>48</v>
      </c>
      <c r="E60" t="s">
        <v>49</v>
      </c>
      <c r="F60" t="s">
        <v>50</v>
      </c>
      <c r="G60" t="s">
        <v>51</v>
      </c>
      <c r="H60" t="s">
        <v>52</v>
      </c>
      <c r="I60" t="s">
        <v>58</v>
      </c>
      <c r="J60" t="s">
        <v>59</v>
      </c>
      <c r="K60" t="s">
        <v>64</v>
      </c>
    </row>
    <row r="61" spans="1:12" ht="15" customHeight="1" x14ac:dyDescent="0.3">
      <c r="A61" s="2">
        <v>60</v>
      </c>
      <c r="B61">
        <v>12</v>
      </c>
      <c r="C61" s="2">
        <f>IF($B61=Config!$B$2,1,0)</f>
        <v>1</v>
      </c>
      <c r="D61" t="s">
        <v>48</v>
      </c>
      <c r="E61" t="s">
        <v>49</v>
      </c>
      <c r="F61" t="s">
        <v>50</v>
      </c>
      <c r="G61" t="s">
        <v>56</v>
      </c>
      <c r="H61" t="s">
        <v>52</v>
      </c>
      <c r="I61" t="s">
        <v>58</v>
      </c>
      <c r="J61" t="s">
        <v>53</v>
      </c>
      <c r="K61" t="s">
        <v>59</v>
      </c>
    </row>
    <row r="62" spans="1:12" ht="15" customHeight="1" x14ac:dyDescent="0.3">
      <c r="A62" s="2">
        <v>61</v>
      </c>
      <c r="B62">
        <v>12</v>
      </c>
      <c r="C62" s="2">
        <f>IF($B62=Config!$B$2,1,0)</f>
        <v>1</v>
      </c>
      <c r="D62" t="s">
        <v>48</v>
      </c>
      <c r="E62" t="s">
        <v>49</v>
      </c>
      <c r="F62" t="s">
        <v>50</v>
      </c>
      <c r="G62" t="s">
        <v>51</v>
      </c>
      <c r="H62" t="s">
        <v>52</v>
      </c>
      <c r="I62" t="s">
        <v>58</v>
      </c>
      <c r="J62" t="s">
        <v>59</v>
      </c>
      <c r="K62" t="s">
        <v>64</v>
      </c>
    </row>
    <row r="63" spans="1:12" ht="15" customHeight="1" x14ac:dyDescent="0.3">
      <c r="A63" s="2">
        <v>62</v>
      </c>
      <c r="B63">
        <v>12</v>
      </c>
      <c r="C63" s="2">
        <f>IF($B63=Config!$B$2,1,0)</f>
        <v>1</v>
      </c>
      <c r="D63" t="s">
        <v>48</v>
      </c>
      <c r="E63" t="s">
        <v>49</v>
      </c>
      <c r="F63" t="s">
        <v>50</v>
      </c>
      <c r="G63" t="s">
        <v>51</v>
      </c>
      <c r="H63" t="s">
        <v>52</v>
      </c>
      <c r="I63" t="s">
        <v>65</v>
      </c>
      <c r="J63" t="s">
        <v>58</v>
      </c>
      <c r="K63" t="s">
        <v>53</v>
      </c>
    </row>
    <row r="64" spans="1:12" ht="15" customHeight="1" x14ac:dyDescent="0.3">
      <c r="A64" s="2">
        <v>63</v>
      </c>
      <c r="B64">
        <v>12</v>
      </c>
      <c r="C64" s="2">
        <f>IF($B64=Config!$B$2,1,0)</f>
        <v>1</v>
      </c>
      <c r="D64" t="s">
        <v>48</v>
      </c>
      <c r="E64" t="s">
        <v>49</v>
      </c>
      <c r="F64" t="s">
        <v>50</v>
      </c>
      <c r="G64" t="s">
        <v>51</v>
      </c>
      <c r="H64" t="s">
        <v>52</v>
      </c>
      <c r="I64" t="s">
        <v>58</v>
      </c>
      <c r="J64" t="s">
        <v>59</v>
      </c>
      <c r="K64" t="s">
        <v>64</v>
      </c>
      <c r="L64" t="s">
        <v>55</v>
      </c>
    </row>
    <row r="65" spans="1:13" ht="15" customHeight="1" x14ac:dyDescent="0.3">
      <c r="A65" s="2">
        <v>64</v>
      </c>
      <c r="B65">
        <v>12</v>
      </c>
      <c r="C65" s="2">
        <f>IF($B65=Config!$B$2,1,0)</f>
        <v>1</v>
      </c>
      <c r="D65" t="s">
        <v>48</v>
      </c>
      <c r="E65" t="s">
        <v>49</v>
      </c>
      <c r="F65" t="s">
        <v>50</v>
      </c>
      <c r="G65" t="s">
        <v>56</v>
      </c>
      <c r="H65" t="s">
        <v>57</v>
      </c>
      <c r="I65" t="s">
        <v>58</v>
      </c>
      <c r="J65" t="s">
        <v>59</v>
      </c>
      <c r="K65" t="s">
        <v>60</v>
      </c>
    </row>
    <row r="66" spans="1:13" ht="15" customHeight="1" x14ac:dyDescent="0.3">
      <c r="A66" s="2">
        <v>65</v>
      </c>
      <c r="B66">
        <v>12</v>
      </c>
      <c r="C66" s="2">
        <f>IF($B66=Config!$B$2,1,0)</f>
        <v>1</v>
      </c>
      <c r="D66" t="s">
        <v>48</v>
      </c>
      <c r="E66" t="s">
        <v>49</v>
      </c>
      <c r="F66" t="s">
        <v>50</v>
      </c>
      <c r="G66" t="s">
        <v>51</v>
      </c>
      <c r="H66" t="s">
        <v>57</v>
      </c>
      <c r="I66" t="s">
        <v>58</v>
      </c>
      <c r="J66" t="s">
        <v>67</v>
      </c>
      <c r="K66" t="s">
        <v>64</v>
      </c>
      <c r="L66" t="s">
        <v>55</v>
      </c>
    </row>
    <row r="67" spans="1:13" ht="15" customHeight="1" x14ac:dyDescent="0.3">
      <c r="A67" s="2">
        <v>66</v>
      </c>
      <c r="B67">
        <v>12</v>
      </c>
      <c r="C67" s="2">
        <f>IF($B67=Config!$B$2,1,0)</f>
        <v>1</v>
      </c>
      <c r="D67" t="s">
        <v>48</v>
      </c>
      <c r="E67" t="s">
        <v>49</v>
      </c>
      <c r="F67" t="s">
        <v>50</v>
      </c>
      <c r="G67" t="s">
        <v>56</v>
      </c>
      <c r="H67" t="s">
        <v>57</v>
      </c>
      <c r="I67" t="s">
        <v>58</v>
      </c>
      <c r="J67" t="s">
        <v>59</v>
      </c>
      <c r="K67" t="s">
        <v>60</v>
      </c>
      <c r="L67" t="s">
        <v>55</v>
      </c>
    </row>
    <row r="68" spans="1:13" ht="15" customHeight="1" x14ac:dyDescent="0.3">
      <c r="A68" s="2">
        <v>67</v>
      </c>
      <c r="B68">
        <v>12</v>
      </c>
      <c r="C68" s="2">
        <f>IF($B68=Config!$B$2,1,0)</f>
        <v>1</v>
      </c>
      <c r="D68" t="s">
        <v>48</v>
      </c>
      <c r="E68" t="s">
        <v>49</v>
      </c>
      <c r="F68" t="s">
        <v>50</v>
      </c>
      <c r="G68" t="s">
        <v>56</v>
      </c>
      <c r="H68" t="s">
        <v>57</v>
      </c>
      <c r="I68" t="s">
        <v>58</v>
      </c>
      <c r="J68" t="s">
        <v>53</v>
      </c>
      <c r="K68" t="s">
        <v>67</v>
      </c>
    </row>
    <row r="69" spans="1:13" ht="15" customHeight="1" x14ac:dyDescent="0.3">
      <c r="A69" s="2">
        <v>68</v>
      </c>
      <c r="B69">
        <v>12</v>
      </c>
      <c r="C69" s="2">
        <f>IF($B69=Config!$B$2,1,0)</f>
        <v>1</v>
      </c>
      <c r="D69" t="s">
        <v>48</v>
      </c>
      <c r="E69" t="s">
        <v>49</v>
      </c>
      <c r="F69" t="s">
        <v>50</v>
      </c>
      <c r="G69" t="s">
        <v>51</v>
      </c>
      <c r="H69" t="s">
        <v>68</v>
      </c>
      <c r="I69" t="s">
        <v>64</v>
      </c>
      <c r="J69" t="s">
        <v>55</v>
      </c>
      <c r="K69" t="s">
        <v>62</v>
      </c>
      <c r="M69" s="2"/>
    </row>
    <row r="70" spans="1:13" ht="15" customHeight="1" x14ac:dyDescent="0.3">
      <c r="A70" s="2">
        <v>69</v>
      </c>
      <c r="B70">
        <v>12</v>
      </c>
      <c r="C70" s="2">
        <f>IF($B70=Config!$B$2,1,0)</f>
        <v>1</v>
      </c>
      <c r="D70" t="s">
        <v>48</v>
      </c>
      <c r="E70" t="s">
        <v>49</v>
      </c>
      <c r="F70" t="s">
        <v>50</v>
      </c>
      <c r="G70" t="s">
        <v>56</v>
      </c>
      <c r="H70" t="s">
        <v>57</v>
      </c>
      <c r="I70" t="s">
        <v>58</v>
      </c>
      <c r="J70" t="s">
        <v>60</v>
      </c>
      <c r="K70" t="s">
        <v>67</v>
      </c>
    </row>
    <row r="71" spans="1:13" ht="15" customHeight="1" x14ac:dyDescent="0.3">
      <c r="A71" s="2">
        <v>70</v>
      </c>
      <c r="B71">
        <v>12</v>
      </c>
      <c r="C71" s="2">
        <f>IF($B71=Config!$B$2,1,0)</f>
        <v>1</v>
      </c>
      <c r="D71" t="s">
        <v>48</v>
      </c>
      <c r="E71" t="s">
        <v>49</v>
      </c>
      <c r="F71" t="s">
        <v>50</v>
      </c>
      <c r="G71" t="s">
        <v>51</v>
      </c>
      <c r="H71" t="s">
        <v>52</v>
      </c>
      <c r="I71" t="s">
        <v>65</v>
      </c>
      <c r="J71" t="s">
        <v>58</v>
      </c>
      <c r="K71" t="s">
        <v>53</v>
      </c>
    </row>
    <row r="72" spans="1:13" ht="15" customHeight="1" x14ac:dyDescent="0.3">
      <c r="A72" s="2">
        <v>71</v>
      </c>
      <c r="B72">
        <v>12</v>
      </c>
      <c r="C72" s="2">
        <f>IF($B72=Config!$B$2,1,0)</f>
        <v>1</v>
      </c>
      <c r="D72" t="s">
        <v>48</v>
      </c>
      <c r="E72" t="s">
        <v>49</v>
      </c>
      <c r="F72" t="s">
        <v>50</v>
      </c>
      <c r="G72" t="s">
        <v>51</v>
      </c>
      <c r="H72" t="s">
        <v>52</v>
      </c>
      <c r="I72" t="s">
        <v>53</v>
      </c>
      <c r="J72" t="s">
        <v>54</v>
      </c>
      <c r="K72" t="s">
        <v>55</v>
      </c>
      <c r="L72" t="s">
        <v>62</v>
      </c>
    </row>
    <row r="73" spans="1:13" ht="15" customHeight="1" x14ac:dyDescent="0.3">
      <c r="A73" s="2">
        <v>72</v>
      </c>
      <c r="B73">
        <v>12</v>
      </c>
      <c r="C73" s="2">
        <f>IF($B73=Config!$B$2,1,0)</f>
        <v>1</v>
      </c>
      <c r="D73" t="s">
        <v>48</v>
      </c>
      <c r="E73" t="s">
        <v>49</v>
      </c>
      <c r="F73" t="s">
        <v>50</v>
      </c>
      <c r="G73" t="s">
        <v>56</v>
      </c>
      <c r="H73" t="s">
        <v>52</v>
      </c>
      <c r="I73" t="s">
        <v>58</v>
      </c>
      <c r="J73" t="s">
        <v>60</v>
      </c>
      <c r="K73" t="s">
        <v>61</v>
      </c>
    </row>
    <row r="74" spans="1:13" ht="15" customHeight="1" x14ac:dyDescent="0.3">
      <c r="A74" s="2">
        <v>73</v>
      </c>
      <c r="B74">
        <v>12</v>
      </c>
      <c r="C74" s="2">
        <f>IF($B74=Config!$B$2,1,0)</f>
        <v>1</v>
      </c>
      <c r="D74" t="s">
        <v>48</v>
      </c>
      <c r="E74" t="s">
        <v>49</v>
      </c>
      <c r="F74" t="s">
        <v>50</v>
      </c>
      <c r="G74" t="s">
        <v>51</v>
      </c>
      <c r="H74" t="s">
        <v>52</v>
      </c>
      <c r="I74" t="s">
        <v>65</v>
      </c>
      <c r="J74" t="s">
        <v>53</v>
      </c>
      <c r="K74" t="s">
        <v>55</v>
      </c>
    </row>
    <row r="75" spans="1:13" ht="15" customHeight="1" x14ac:dyDescent="0.3">
      <c r="A75" s="2">
        <v>74</v>
      </c>
      <c r="B75">
        <v>12</v>
      </c>
      <c r="C75" s="2">
        <f>IF($B75=Config!$B$2,1,0)</f>
        <v>1</v>
      </c>
      <c r="D75" t="s">
        <v>48</v>
      </c>
      <c r="E75" t="s">
        <v>49</v>
      </c>
      <c r="F75" t="s">
        <v>50</v>
      </c>
      <c r="G75" t="s">
        <v>51</v>
      </c>
      <c r="H75" t="s">
        <v>52</v>
      </c>
      <c r="I75" t="s">
        <v>58</v>
      </c>
      <c r="J75" t="s">
        <v>64</v>
      </c>
      <c r="K75" t="s">
        <v>55</v>
      </c>
    </row>
    <row r="76" spans="1:13" ht="15" customHeight="1" x14ac:dyDescent="0.3">
      <c r="A76" s="2">
        <v>75</v>
      </c>
      <c r="B76">
        <v>12</v>
      </c>
      <c r="C76" s="2">
        <f>IF($B76=Config!$B$2,1,0)</f>
        <v>1</v>
      </c>
      <c r="D76" t="s">
        <v>48</v>
      </c>
      <c r="E76" t="s">
        <v>49</v>
      </c>
      <c r="F76" t="s">
        <v>50</v>
      </c>
      <c r="G76" t="s">
        <v>51</v>
      </c>
      <c r="H76" t="s">
        <v>52</v>
      </c>
      <c r="I76" t="s">
        <v>65</v>
      </c>
      <c r="J76" t="s">
        <v>64</v>
      </c>
      <c r="K76" t="s">
        <v>55</v>
      </c>
    </row>
    <row r="77" spans="1:13" ht="15" customHeight="1" x14ac:dyDescent="0.3">
      <c r="A77" s="2">
        <v>76</v>
      </c>
      <c r="B77">
        <v>12</v>
      </c>
      <c r="C77" s="2">
        <f>IF($B77=Config!$B$2,1,0)</f>
        <v>1</v>
      </c>
      <c r="D77" t="s">
        <v>48</v>
      </c>
      <c r="E77" t="s">
        <v>49</v>
      </c>
      <c r="F77" t="s">
        <v>50</v>
      </c>
      <c r="G77" t="s">
        <v>51</v>
      </c>
      <c r="H77" t="s">
        <v>52</v>
      </c>
      <c r="I77" t="s">
        <v>58</v>
      </c>
      <c r="J77" t="s">
        <v>53</v>
      </c>
      <c r="K77" t="s">
        <v>64</v>
      </c>
      <c r="L77" t="s">
        <v>55</v>
      </c>
    </row>
    <row r="78" spans="1:13" ht="15" customHeight="1" x14ac:dyDescent="0.3">
      <c r="A78" s="2">
        <v>77</v>
      </c>
      <c r="B78">
        <v>12</v>
      </c>
      <c r="C78" s="2">
        <f>IF($B78=Config!$B$2,1,0)</f>
        <v>1</v>
      </c>
      <c r="D78" t="s">
        <v>48</v>
      </c>
      <c r="E78" t="s">
        <v>49</v>
      </c>
      <c r="F78" t="s">
        <v>50</v>
      </c>
      <c r="G78" t="s">
        <v>51</v>
      </c>
      <c r="H78" t="s">
        <v>52</v>
      </c>
      <c r="I78" t="s">
        <v>65</v>
      </c>
      <c r="J78" t="s">
        <v>64</v>
      </c>
      <c r="K78" t="s">
        <v>55</v>
      </c>
    </row>
    <row r="79" spans="1:13" ht="15" customHeight="1" x14ac:dyDescent="0.3">
      <c r="A79" s="2">
        <v>78</v>
      </c>
      <c r="B79">
        <v>12</v>
      </c>
      <c r="C79" s="2">
        <f>IF($B79=Config!$B$2,1,0)</f>
        <v>1</v>
      </c>
      <c r="D79" t="s">
        <v>48</v>
      </c>
      <c r="E79" t="s">
        <v>49</v>
      </c>
      <c r="F79" t="s">
        <v>50</v>
      </c>
      <c r="G79" t="s">
        <v>56</v>
      </c>
      <c r="H79" t="s">
        <v>52</v>
      </c>
      <c r="I79" t="s">
        <v>58</v>
      </c>
      <c r="J79" t="s">
        <v>60</v>
      </c>
      <c r="K79" t="s">
        <v>64</v>
      </c>
    </row>
    <row r="80" spans="1:13" ht="15" customHeight="1" x14ac:dyDescent="0.3">
      <c r="A80" s="2">
        <v>79</v>
      </c>
      <c r="B80">
        <v>12</v>
      </c>
      <c r="C80" s="2">
        <f>IF($B80=Config!$B$2,1,0)</f>
        <v>1</v>
      </c>
      <c r="D80" t="s">
        <v>48</v>
      </c>
      <c r="E80" t="s">
        <v>49</v>
      </c>
      <c r="F80" t="s">
        <v>50</v>
      </c>
      <c r="G80" t="s">
        <v>51</v>
      </c>
      <c r="H80" t="s">
        <v>52</v>
      </c>
      <c r="I80" t="s">
        <v>58</v>
      </c>
      <c r="J80" t="s">
        <v>59</v>
      </c>
      <c r="K80" t="s">
        <v>64</v>
      </c>
    </row>
    <row r="81" spans="1:12" ht="15" customHeight="1" x14ac:dyDescent="0.3">
      <c r="A81" s="2">
        <v>80</v>
      </c>
      <c r="B81">
        <v>12</v>
      </c>
      <c r="C81" s="2">
        <f>IF($B81=Config!$B$2,1,0)</f>
        <v>1</v>
      </c>
      <c r="D81" t="s">
        <v>48</v>
      </c>
      <c r="E81" t="s">
        <v>49</v>
      </c>
      <c r="F81" t="s">
        <v>50</v>
      </c>
      <c r="G81" t="s">
        <v>51</v>
      </c>
      <c r="H81" t="s">
        <v>52</v>
      </c>
      <c r="I81" t="s">
        <v>65</v>
      </c>
      <c r="J81" t="s">
        <v>54</v>
      </c>
      <c r="K81" t="s">
        <v>55</v>
      </c>
    </row>
    <row r="82" spans="1:12" ht="15" customHeight="1" x14ac:dyDescent="0.3">
      <c r="A82" s="2">
        <v>81</v>
      </c>
      <c r="B82">
        <v>12</v>
      </c>
      <c r="C82" s="2">
        <f>IF($B82=Config!$B$2,1,0)</f>
        <v>1</v>
      </c>
      <c r="D82" t="s">
        <v>48</v>
      </c>
      <c r="E82" t="s">
        <v>49</v>
      </c>
      <c r="F82" t="s">
        <v>50</v>
      </c>
      <c r="G82" t="s">
        <v>51</v>
      </c>
      <c r="H82" t="s">
        <v>52</v>
      </c>
      <c r="I82" t="s">
        <v>65</v>
      </c>
      <c r="J82" t="s">
        <v>58</v>
      </c>
      <c r="K82" t="s">
        <v>60</v>
      </c>
    </row>
    <row r="83" spans="1:12" ht="15" customHeight="1" x14ac:dyDescent="0.3">
      <c r="A83" s="2">
        <v>82</v>
      </c>
      <c r="B83">
        <v>12</v>
      </c>
      <c r="C83" s="2">
        <f>IF($B83=Config!$B$2,1,0)</f>
        <v>1</v>
      </c>
      <c r="D83" t="s">
        <v>48</v>
      </c>
      <c r="E83" t="s">
        <v>49</v>
      </c>
      <c r="F83" t="s">
        <v>50</v>
      </c>
      <c r="G83" t="s">
        <v>56</v>
      </c>
      <c r="H83" t="s">
        <v>52</v>
      </c>
      <c r="I83" t="s">
        <v>60</v>
      </c>
      <c r="J83" t="s">
        <v>63</v>
      </c>
      <c r="K83" t="s">
        <v>62</v>
      </c>
    </row>
    <row r="84" spans="1:12" ht="15" customHeight="1" x14ac:dyDescent="0.3">
      <c r="A84" s="2">
        <v>83</v>
      </c>
      <c r="B84">
        <v>12</v>
      </c>
      <c r="C84" s="2">
        <f>IF($B84=Config!$B$2,1,0)</f>
        <v>1</v>
      </c>
      <c r="D84" t="s">
        <v>48</v>
      </c>
      <c r="E84" t="s">
        <v>49</v>
      </c>
      <c r="F84" t="s">
        <v>50</v>
      </c>
      <c r="G84" t="s">
        <v>51</v>
      </c>
      <c r="H84" t="s">
        <v>52</v>
      </c>
      <c r="I84" t="s">
        <v>65</v>
      </c>
      <c r="J84" t="s">
        <v>67</v>
      </c>
      <c r="K84" t="s">
        <v>55</v>
      </c>
    </row>
    <row r="85" spans="1:12" ht="15" customHeight="1" x14ac:dyDescent="0.3">
      <c r="A85" s="2">
        <v>84</v>
      </c>
      <c r="B85">
        <v>12</v>
      </c>
      <c r="C85" s="2">
        <f>IF($B85=Config!$B$2,1,0)</f>
        <v>1</v>
      </c>
      <c r="D85" t="s">
        <v>48</v>
      </c>
      <c r="E85" t="s">
        <v>49</v>
      </c>
      <c r="F85" t="s">
        <v>50</v>
      </c>
      <c r="G85" t="s">
        <v>56</v>
      </c>
      <c r="H85" t="s">
        <v>57</v>
      </c>
      <c r="I85" t="s">
        <v>68</v>
      </c>
      <c r="J85" t="s">
        <v>67</v>
      </c>
      <c r="K85" t="s">
        <v>64</v>
      </c>
      <c r="L85" t="s">
        <v>62</v>
      </c>
    </row>
    <row r="86" spans="1:12" ht="15" customHeight="1" x14ac:dyDescent="0.3">
      <c r="A86" s="2">
        <v>85</v>
      </c>
      <c r="B86">
        <v>12</v>
      </c>
      <c r="C86" s="2">
        <f>IF($B86=Config!$B$2,1,0)</f>
        <v>1</v>
      </c>
      <c r="D86" t="s">
        <v>48</v>
      </c>
      <c r="E86" t="s">
        <v>49</v>
      </c>
      <c r="F86" t="s">
        <v>50</v>
      </c>
      <c r="G86" t="s">
        <v>51</v>
      </c>
      <c r="H86" t="s">
        <v>52</v>
      </c>
      <c r="I86" t="s">
        <v>64</v>
      </c>
      <c r="J86" t="s">
        <v>55</v>
      </c>
      <c r="K86" t="s">
        <v>62</v>
      </c>
    </row>
    <row r="87" spans="1:12" ht="15" customHeight="1" x14ac:dyDescent="0.3">
      <c r="A87" s="2">
        <v>86</v>
      </c>
      <c r="B87">
        <v>12</v>
      </c>
      <c r="C87" s="2">
        <f>IF($B87=Config!$B$2,1,0)</f>
        <v>1</v>
      </c>
      <c r="D87" t="s">
        <v>48</v>
      </c>
      <c r="E87" t="s">
        <v>49</v>
      </c>
      <c r="F87" t="s">
        <v>50</v>
      </c>
      <c r="G87" t="s">
        <v>51</v>
      </c>
      <c r="H87" t="s">
        <v>57</v>
      </c>
      <c r="I87" t="s">
        <v>65</v>
      </c>
      <c r="J87" t="s">
        <v>59</v>
      </c>
      <c r="K87" t="s">
        <v>64</v>
      </c>
      <c r="L87" t="s">
        <v>55</v>
      </c>
    </row>
    <row r="88" spans="1:12" ht="15" customHeight="1" x14ac:dyDescent="0.3">
      <c r="A88" s="2">
        <v>87</v>
      </c>
      <c r="B88">
        <v>12</v>
      </c>
      <c r="C88" s="2">
        <f>IF($B88=Config!$B$2,1,0)</f>
        <v>1</v>
      </c>
      <c r="D88" t="s">
        <v>48</v>
      </c>
      <c r="E88" t="s">
        <v>49</v>
      </c>
      <c r="F88" t="s">
        <v>50</v>
      </c>
      <c r="G88" t="s">
        <v>51</v>
      </c>
      <c r="H88" t="s">
        <v>52</v>
      </c>
      <c r="I88" t="s">
        <v>63</v>
      </c>
      <c r="J88" t="s">
        <v>64</v>
      </c>
      <c r="K88" t="s">
        <v>55</v>
      </c>
    </row>
    <row r="89" spans="1:12" ht="15" customHeight="1" x14ac:dyDescent="0.3">
      <c r="A89" s="2">
        <v>88</v>
      </c>
      <c r="B89">
        <v>12</v>
      </c>
      <c r="C89" s="2">
        <f>IF($B89=Config!$B$2,1,0)</f>
        <v>1</v>
      </c>
      <c r="D89" t="s">
        <v>48</v>
      </c>
      <c r="E89" t="s">
        <v>49</v>
      </c>
      <c r="F89" t="s">
        <v>50</v>
      </c>
      <c r="G89" t="s">
        <v>56</v>
      </c>
      <c r="H89" t="s">
        <v>52</v>
      </c>
      <c r="I89" t="s">
        <v>58</v>
      </c>
      <c r="J89" t="s">
        <v>53</v>
      </c>
      <c r="K89" t="s">
        <v>67</v>
      </c>
    </row>
    <row r="90" spans="1:12" ht="15" customHeight="1" x14ac:dyDescent="0.3">
      <c r="A90" s="2">
        <v>89</v>
      </c>
      <c r="B90">
        <v>12</v>
      </c>
      <c r="C90" s="2">
        <f>IF($B90=Config!$B$2,1,0)</f>
        <v>1</v>
      </c>
      <c r="D90" t="s">
        <v>48</v>
      </c>
      <c r="E90" t="s">
        <v>49</v>
      </c>
      <c r="F90" t="s">
        <v>50</v>
      </c>
      <c r="G90" t="s">
        <v>51</v>
      </c>
      <c r="H90" t="s">
        <v>56</v>
      </c>
      <c r="I90" t="s">
        <v>52</v>
      </c>
      <c r="J90" t="s">
        <v>58</v>
      </c>
      <c r="K90" t="s">
        <v>63</v>
      </c>
      <c r="L90" t="s">
        <v>61</v>
      </c>
    </row>
    <row r="91" spans="1:12" ht="15" customHeight="1" x14ac:dyDescent="0.3">
      <c r="A91" s="2">
        <v>90</v>
      </c>
      <c r="B91">
        <v>12</v>
      </c>
      <c r="C91" s="2">
        <f>IF($B91=Config!$B$2,1,0)</f>
        <v>1</v>
      </c>
      <c r="D91" t="s">
        <v>48</v>
      </c>
      <c r="E91" t="s">
        <v>49</v>
      </c>
      <c r="F91" t="s">
        <v>50</v>
      </c>
      <c r="G91" t="s">
        <v>51</v>
      </c>
      <c r="H91" t="s">
        <v>52</v>
      </c>
      <c r="I91" t="s">
        <v>65</v>
      </c>
      <c r="J91" t="s">
        <v>58</v>
      </c>
      <c r="K91" t="s">
        <v>53</v>
      </c>
    </row>
    <row r="92" spans="1:12" ht="15" customHeight="1" x14ac:dyDescent="0.3">
      <c r="A92" s="2">
        <v>91</v>
      </c>
      <c r="B92">
        <v>12</v>
      </c>
      <c r="C92" s="2">
        <f>IF($B92=Config!$B$2,1,0)</f>
        <v>1</v>
      </c>
      <c r="D92" t="s">
        <v>48</v>
      </c>
      <c r="E92" t="s">
        <v>49</v>
      </c>
      <c r="F92" t="s">
        <v>50</v>
      </c>
      <c r="G92" t="s">
        <v>51</v>
      </c>
      <c r="H92" t="s">
        <v>52</v>
      </c>
      <c r="I92" t="s">
        <v>65</v>
      </c>
      <c r="J92" t="s">
        <v>66</v>
      </c>
      <c r="K92" t="s">
        <v>55</v>
      </c>
    </row>
    <row r="93" spans="1:12" ht="15" customHeight="1" x14ac:dyDescent="0.3">
      <c r="A93" s="2">
        <v>92</v>
      </c>
      <c r="B93">
        <v>12</v>
      </c>
      <c r="C93" s="2">
        <f>IF($B93=Config!$B$2,1,0)</f>
        <v>1</v>
      </c>
      <c r="D93" t="s">
        <v>48</v>
      </c>
      <c r="E93" t="s">
        <v>49</v>
      </c>
      <c r="F93" t="s">
        <v>50</v>
      </c>
      <c r="G93" t="s">
        <v>51</v>
      </c>
      <c r="H93" t="s">
        <v>52</v>
      </c>
      <c r="I93" t="s">
        <v>58</v>
      </c>
      <c r="J93" t="s">
        <v>59</v>
      </c>
      <c r="K93" t="s">
        <v>64</v>
      </c>
      <c r="L93" t="s">
        <v>55</v>
      </c>
    </row>
    <row r="94" spans="1:12" ht="15" customHeight="1" x14ac:dyDescent="0.3">
      <c r="A94" s="2">
        <v>93</v>
      </c>
      <c r="B94">
        <v>12</v>
      </c>
      <c r="C94" s="2">
        <f>IF($B94=Config!$B$2,1,0)</f>
        <v>1</v>
      </c>
      <c r="D94" t="s">
        <v>48</v>
      </c>
      <c r="E94" t="s">
        <v>49</v>
      </c>
      <c r="F94" t="s">
        <v>50</v>
      </c>
      <c r="G94" t="s">
        <v>51</v>
      </c>
      <c r="H94" t="s">
        <v>52</v>
      </c>
      <c r="I94" t="s">
        <v>53</v>
      </c>
      <c r="J94" t="s">
        <v>64</v>
      </c>
      <c r="K94" t="s">
        <v>55</v>
      </c>
    </row>
    <row r="95" spans="1:12" ht="15" customHeight="1" x14ac:dyDescent="0.3">
      <c r="A95" s="2">
        <v>94</v>
      </c>
      <c r="B95">
        <v>12</v>
      </c>
      <c r="C95" s="2">
        <f>IF($B95=Config!$B$2,1,0)</f>
        <v>1</v>
      </c>
      <c r="D95" t="s">
        <v>48</v>
      </c>
      <c r="E95" t="s">
        <v>49</v>
      </c>
      <c r="F95" t="s">
        <v>50</v>
      </c>
      <c r="G95" t="s">
        <v>51</v>
      </c>
      <c r="H95" t="s">
        <v>52</v>
      </c>
      <c r="I95" t="s">
        <v>65</v>
      </c>
      <c r="J95" t="s">
        <v>63</v>
      </c>
      <c r="K95" t="s">
        <v>55</v>
      </c>
    </row>
    <row r="96" spans="1:12" ht="15" customHeight="1" x14ac:dyDescent="0.3">
      <c r="A96" s="2">
        <v>95</v>
      </c>
      <c r="B96">
        <v>12</v>
      </c>
      <c r="C96" s="2">
        <f>IF($B96=Config!$B$2,1,0)</f>
        <v>1</v>
      </c>
      <c r="D96" t="s">
        <v>48</v>
      </c>
      <c r="E96" t="s">
        <v>49</v>
      </c>
      <c r="F96" t="s">
        <v>50</v>
      </c>
      <c r="G96" t="s">
        <v>51</v>
      </c>
      <c r="H96" t="s">
        <v>52</v>
      </c>
      <c r="I96" t="s">
        <v>58</v>
      </c>
      <c r="J96" t="s">
        <v>60</v>
      </c>
      <c r="K96" t="s">
        <v>64</v>
      </c>
      <c r="L96" t="s">
        <v>55</v>
      </c>
    </row>
    <row r="97" spans="1:12" ht="15" customHeight="1" x14ac:dyDescent="0.3">
      <c r="A97" s="2">
        <v>96</v>
      </c>
      <c r="B97">
        <v>12</v>
      </c>
      <c r="C97" s="2">
        <f>IF($B97=Config!$B$2,1,0)</f>
        <v>1</v>
      </c>
      <c r="D97" t="s">
        <v>48</v>
      </c>
      <c r="E97" t="s">
        <v>49</v>
      </c>
      <c r="F97" t="s">
        <v>50</v>
      </c>
      <c r="G97" t="s">
        <v>56</v>
      </c>
      <c r="H97" t="s">
        <v>58</v>
      </c>
      <c r="I97" t="s">
        <v>60</v>
      </c>
      <c r="J97" t="s">
        <v>61</v>
      </c>
      <c r="K97" t="s">
        <v>64</v>
      </c>
    </row>
    <row r="98" spans="1:12" ht="15" customHeight="1" x14ac:dyDescent="0.3">
      <c r="A98" s="2">
        <v>97</v>
      </c>
      <c r="B98">
        <v>12</v>
      </c>
      <c r="C98" s="2">
        <f>IF($B98=Config!$B$2,1,0)</f>
        <v>1</v>
      </c>
      <c r="D98" t="s">
        <v>48</v>
      </c>
      <c r="E98" t="s">
        <v>49</v>
      </c>
      <c r="F98" t="s">
        <v>50</v>
      </c>
      <c r="G98" t="s">
        <v>51</v>
      </c>
      <c r="H98" t="s">
        <v>52</v>
      </c>
      <c r="I98" t="s">
        <v>58</v>
      </c>
      <c r="J98" t="s">
        <v>64</v>
      </c>
      <c r="K98" t="s">
        <v>55</v>
      </c>
    </row>
    <row r="99" spans="1:12" ht="15" customHeight="1" x14ac:dyDescent="0.3">
      <c r="A99" s="2">
        <v>98</v>
      </c>
      <c r="B99">
        <v>12</v>
      </c>
      <c r="C99" s="2">
        <f>IF($B99=Config!$B$2,1,0)</f>
        <v>1</v>
      </c>
      <c r="D99" t="s">
        <v>48</v>
      </c>
      <c r="E99" t="s">
        <v>49</v>
      </c>
      <c r="F99" t="s">
        <v>50</v>
      </c>
      <c r="G99" t="s">
        <v>51</v>
      </c>
      <c r="H99" t="s">
        <v>52</v>
      </c>
      <c r="I99" t="s">
        <v>63</v>
      </c>
      <c r="J99" t="s">
        <v>64</v>
      </c>
      <c r="K99" t="s">
        <v>55</v>
      </c>
    </row>
    <row r="100" spans="1:12" ht="15" customHeight="1" x14ac:dyDescent="0.3">
      <c r="A100" s="2">
        <v>99</v>
      </c>
      <c r="B100">
        <v>11</v>
      </c>
      <c r="C100" s="2">
        <f>IF($B100=Config!$B$2,1,0)</f>
        <v>0</v>
      </c>
      <c r="D100" t="s">
        <v>48</v>
      </c>
      <c r="E100" t="s">
        <v>49</v>
      </c>
      <c r="F100" t="s">
        <v>50</v>
      </c>
      <c r="G100" t="s">
        <v>51</v>
      </c>
      <c r="H100" t="s">
        <v>52</v>
      </c>
      <c r="I100" t="s">
        <v>63</v>
      </c>
      <c r="J100" t="s">
        <v>68</v>
      </c>
      <c r="K100" t="s">
        <v>54</v>
      </c>
      <c r="L100" t="s">
        <v>55</v>
      </c>
    </row>
    <row r="101" spans="1:12" ht="15" customHeight="1" x14ac:dyDescent="0.3">
      <c r="A101" s="2">
        <v>100</v>
      </c>
      <c r="B101">
        <v>11</v>
      </c>
      <c r="C101" s="2">
        <f>IF($B101=Config!$B$2,1,0)</f>
        <v>0</v>
      </c>
      <c r="D101" t="s">
        <v>48</v>
      </c>
      <c r="E101" t="s">
        <v>49</v>
      </c>
      <c r="F101" t="s">
        <v>50</v>
      </c>
      <c r="G101" t="s">
        <v>51</v>
      </c>
      <c r="H101" t="s">
        <v>52</v>
      </c>
      <c r="I101" t="s">
        <v>53</v>
      </c>
      <c r="J101" t="s">
        <v>67</v>
      </c>
      <c r="K101" t="s">
        <v>64</v>
      </c>
      <c r="L101" t="s">
        <v>55</v>
      </c>
    </row>
    <row r="102" spans="1:12" ht="15" customHeight="1" x14ac:dyDescent="0.3">
      <c r="A102" s="2">
        <v>101</v>
      </c>
      <c r="B102">
        <v>11</v>
      </c>
      <c r="C102" s="2">
        <f>IF($B102=Config!$B$2,1,0)</f>
        <v>0</v>
      </c>
      <c r="D102" t="s">
        <v>48</v>
      </c>
      <c r="E102" t="s">
        <v>49</v>
      </c>
      <c r="F102" t="s">
        <v>50</v>
      </c>
      <c r="G102" t="s">
        <v>51</v>
      </c>
      <c r="H102" t="s">
        <v>52</v>
      </c>
      <c r="I102" t="s">
        <v>67</v>
      </c>
      <c r="J102" t="s">
        <v>61</v>
      </c>
      <c r="K102" t="s">
        <v>64</v>
      </c>
      <c r="L102" t="s">
        <v>55</v>
      </c>
    </row>
    <row r="103" spans="1:12" ht="15" customHeight="1" x14ac:dyDescent="0.3">
      <c r="A103" s="2">
        <v>102</v>
      </c>
      <c r="B103">
        <v>11</v>
      </c>
      <c r="C103" s="2">
        <f>IF($B103=Config!$B$2,1,0)</f>
        <v>0</v>
      </c>
      <c r="D103" t="s">
        <v>48</v>
      </c>
      <c r="E103" t="s">
        <v>49</v>
      </c>
      <c r="F103" t="s">
        <v>50</v>
      </c>
      <c r="G103" t="s">
        <v>51</v>
      </c>
      <c r="H103" t="s">
        <v>58</v>
      </c>
      <c r="I103" t="s">
        <v>53</v>
      </c>
      <c r="J103" t="s">
        <v>68</v>
      </c>
      <c r="K103" t="s">
        <v>61</v>
      </c>
      <c r="L103" t="s">
        <v>64</v>
      </c>
    </row>
    <row r="104" spans="1:12" ht="15" customHeight="1" x14ac:dyDescent="0.3">
      <c r="A104" s="2">
        <v>103</v>
      </c>
      <c r="B104">
        <v>11</v>
      </c>
      <c r="C104" s="2">
        <f>IF($B104=Config!$B$2,1,0)</f>
        <v>0</v>
      </c>
      <c r="D104" t="s">
        <v>48</v>
      </c>
      <c r="E104" t="s">
        <v>49</v>
      </c>
      <c r="F104" t="s">
        <v>50</v>
      </c>
      <c r="G104" t="s">
        <v>51</v>
      </c>
      <c r="H104" t="s">
        <v>52</v>
      </c>
      <c r="I104" t="s">
        <v>60</v>
      </c>
      <c r="J104" t="s">
        <v>63</v>
      </c>
      <c r="K104" t="s">
        <v>55</v>
      </c>
    </row>
    <row r="105" spans="1:12" ht="15" customHeight="1" x14ac:dyDescent="0.3">
      <c r="A105" s="2">
        <v>104</v>
      </c>
      <c r="B105">
        <v>11</v>
      </c>
      <c r="C105" s="2">
        <f>IF($B105=Config!$B$2,1,0)</f>
        <v>0</v>
      </c>
      <c r="D105" t="s">
        <v>48</v>
      </c>
      <c r="E105" t="s">
        <v>49</v>
      </c>
      <c r="F105" t="s">
        <v>50</v>
      </c>
      <c r="G105" t="s">
        <v>51</v>
      </c>
      <c r="H105" t="s">
        <v>52</v>
      </c>
      <c r="I105" t="s">
        <v>58</v>
      </c>
      <c r="J105" t="s">
        <v>53</v>
      </c>
      <c r="K105" t="s">
        <v>61</v>
      </c>
    </row>
    <row r="106" spans="1:12" ht="15" customHeight="1" x14ac:dyDescent="0.3">
      <c r="A106" s="2">
        <v>105</v>
      </c>
      <c r="B106">
        <v>11</v>
      </c>
      <c r="C106" s="2">
        <f>IF($B106=Config!$B$2,1,0)</f>
        <v>0</v>
      </c>
      <c r="D106" t="s">
        <v>48</v>
      </c>
      <c r="E106" t="s">
        <v>49</v>
      </c>
      <c r="F106" t="s">
        <v>50</v>
      </c>
      <c r="G106" t="s">
        <v>51</v>
      </c>
      <c r="H106" t="s">
        <v>57</v>
      </c>
      <c r="I106" t="s">
        <v>58</v>
      </c>
      <c r="J106" t="s">
        <v>60</v>
      </c>
      <c r="K106" t="s">
        <v>64</v>
      </c>
    </row>
    <row r="107" spans="1:12" ht="15" customHeight="1" x14ac:dyDescent="0.3">
      <c r="A107" s="2">
        <v>106</v>
      </c>
      <c r="B107">
        <v>11</v>
      </c>
      <c r="C107" s="2">
        <f>IF($B107=Config!$B$2,1,0)</f>
        <v>0</v>
      </c>
      <c r="D107" t="s">
        <v>48</v>
      </c>
      <c r="E107" t="s">
        <v>49</v>
      </c>
      <c r="F107" t="s">
        <v>50</v>
      </c>
      <c r="G107" t="s">
        <v>51</v>
      </c>
      <c r="H107" t="s">
        <v>52</v>
      </c>
      <c r="I107" t="s">
        <v>58</v>
      </c>
      <c r="J107" t="s">
        <v>64</v>
      </c>
      <c r="K107" t="s">
        <v>55</v>
      </c>
    </row>
    <row r="108" spans="1:12" ht="15" customHeight="1" x14ac:dyDescent="0.3">
      <c r="A108" s="2">
        <v>107</v>
      </c>
      <c r="B108">
        <v>11</v>
      </c>
      <c r="C108" s="2">
        <f>IF($B108=Config!$B$2,1,0)</f>
        <v>0</v>
      </c>
      <c r="D108" t="s">
        <v>48</v>
      </c>
      <c r="E108" t="s">
        <v>49</v>
      </c>
      <c r="F108" t="s">
        <v>50</v>
      </c>
      <c r="G108" t="s">
        <v>51</v>
      </c>
      <c r="H108" t="s">
        <v>52</v>
      </c>
      <c r="I108" t="s">
        <v>65</v>
      </c>
      <c r="J108" t="s">
        <v>64</v>
      </c>
      <c r="K108" t="s">
        <v>55</v>
      </c>
    </row>
    <row r="109" spans="1:12" ht="15" customHeight="1" x14ac:dyDescent="0.3">
      <c r="A109" s="2">
        <v>108</v>
      </c>
      <c r="B109">
        <v>11</v>
      </c>
      <c r="C109" s="2">
        <f>IF($B109=Config!$B$2,1,0)</f>
        <v>0</v>
      </c>
      <c r="D109" t="s">
        <v>48</v>
      </c>
      <c r="E109" t="s">
        <v>49</v>
      </c>
      <c r="F109" t="s">
        <v>50</v>
      </c>
      <c r="G109" t="s">
        <v>51</v>
      </c>
      <c r="H109" t="s">
        <v>52</v>
      </c>
      <c r="I109" t="s">
        <v>63</v>
      </c>
      <c r="J109" t="s">
        <v>67</v>
      </c>
      <c r="K109" t="s">
        <v>64</v>
      </c>
      <c r="L109" t="s">
        <v>55</v>
      </c>
    </row>
    <row r="110" spans="1:12" ht="15" customHeight="1" x14ac:dyDescent="0.3">
      <c r="A110" s="2">
        <v>109</v>
      </c>
      <c r="B110">
        <v>11</v>
      </c>
      <c r="C110" s="2">
        <f>IF($B110=Config!$B$2,1,0)</f>
        <v>0</v>
      </c>
      <c r="D110" t="s">
        <v>48</v>
      </c>
      <c r="E110" t="s">
        <v>49</v>
      </c>
      <c r="F110" t="s">
        <v>50</v>
      </c>
      <c r="G110" t="s">
        <v>51</v>
      </c>
      <c r="H110" t="s">
        <v>52</v>
      </c>
      <c r="I110" t="s">
        <v>65</v>
      </c>
      <c r="J110" t="s">
        <v>60</v>
      </c>
      <c r="K110" t="s">
        <v>64</v>
      </c>
      <c r="L110" t="s">
        <v>55</v>
      </c>
    </row>
    <row r="111" spans="1:12" ht="15" customHeight="1" x14ac:dyDescent="0.3">
      <c r="A111" s="2">
        <v>110</v>
      </c>
      <c r="B111">
        <v>11</v>
      </c>
      <c r="C111" s="2">
        <f>IF($B111=Config!$B$2,1,0)</f>
        <v>0</v>
      </c>
      <c r="D111" t="s">
        <v>48</v>
      </c>
      <c r="E111" t="s">
        <v>49</v>
      </c>
      <c r="F111" t="s">
        <v>50</v>
      </c>
      <c r="G111" t="s">
        <v>56</v>
      </c>
      <c r="H111" t="s">
        <v>52</v>
      </c>
      <c r="I111" t="s">
        <v>58</v>
      </c>
      <c r="J111" t="s">
        <v>60</v>
      </c>
      <c r="K111" t="s">
        <v>61</v>
      </c>
      <c r="L111" t="s">
        <v>64</v>
      </c>
    </row>
    <row r="112" spans="1:12" ht="15" customHeight="1" x14ac:dyDescent="0.3">
      <c r="A112" s="2">
        <v>111</v>
      </c>
      <c r="B112">
        <v>11</v>
      </c>
      <c r="C112" s="2">
        <f>IF($B112=Config!$B$2,1,0)</f>
        <v>0</v>
      </c>
      <c r="D112" t="s">
        <v>48</v>
      </c>
      <c r="E112" t="s">
        <v>49</v>
      </c>
      <c r="F112" t="s">
        <v>50</v>
      </c>
      <c r="G112" t="s">
        <v>56</v>
      </c>
      <c r="H112" t="s">
        <v>53</v>
      </c>
      <c r="I112" t="s">
        <v>63</v>
      </c>
      <c r="J112" t="s">
        <v>66</v>
      </c>
    </row>
    <row r="113" spans="1:12" ht="15" customHeight="1" x14ac:dyDescent="0.3">
      <c r="A113" s="2">
        <v>112</v>
      </c>
      <c r="B113">
        <v>11</v>
      </c>
      <c r="C113" s="2">
        <f>IF($B113=Config!$B$2,1,0)</f>
        <v>0</v>
      </c>
      <c r="D113" t="s">
        <v>48</v>
      </c>
      <c r="E113" t="s">
        <v>49</v>
      </c>
      <c r="F113" t="s">
        <v>50</v>
      </c>
      <c r="G113" t="s">
        <v>51</v>
      </c>
      <c r="H113" t="s">
        <v>52</v>
      </c>
      <c r="I113" t="s">
        <v>54</v>
      </c>
      <c r="J113" t="s">
        <v>64</v>
      </c>
      <c r="K113" t="s">
        <v>55</v>
      </c>
    </row>
    <row r="114" spans="1:12" ht="15" customHeight="1" x14ac:dyDescent="0.3">
      <c r="A114" s="2">
        <v>113</v>
      </c>
      <c r="B114">
        <v>11</v>
      </c>
      <c r="C114" s="2">
        <f>IF($B114=Config!$B$2,1,0)</f>
        <v>0</v>
      </c>
      <c r="D114" t="s">
        <v>48</v>
      </c>
      <c r="E114" t="s">
        <v>49</v>
      </c>
      <c r="F114" t="s">
        <v>50</v>
      </c>
      <c r="G114" t="s">
        <v>51</v>
      </c>
      <c r="H114" t="s">
        <v>52</v>
      </c>
      <c r="I114" t="s">
        <v>65</v>
      </c>
      <c r="J114" t="s">
        <v>59</v>
      </c>
      <c r="K114" t="s">
        <v>64</v>
      </c>
      <c r="L114" t="s">
        <v>55</v>
      </c>
    </row>
    <row r="115" spans="1:12" ht="15" customHeight="1" x14ac:dyDescent="0.3">
      <c r="A115" s="2">
        <v>114</v>
      </c>
      <c r="B115">
        <v>11</v>
      </c>
      <c r="C115" s="2">
        <f>IF($B115=Config!$B$2,1,0)</f>
        <v>0</v>
      </c>
      <c r="D115" t="s">
        <v>48</v>
      </c>
      <c r="E115" t="s">
        <v>49</v>
      </c>
      <c r="F115" t="s">
        <v>50</v>
      </c>
      <c r="G115" t="s">
        <v>51</v>
      </c>
      <c r="H115" t="s">
        <v>57</v>
      </c>
      <c r="I115" t="s">
        <v>63</v>
      </c>
      <c r="J115" t="s">
        <v>67</v>
      </c>
      <c r="K115" t="s">
        <v>55</v>
      </c>
    </row>
    <row r="116" spans="1:12" ht="15" customHeight="1" x14ac:dyDescent="0.3">
      <c r="A116" s="2">
        <v>115</v>
      </c>
      <c r="B116">
        <v>11</v>
      </c>
      <c r="C116" s="2">
        <f>IF($B116=Config!$B$2,1,0)</f>
        <v>0</v>
      </c>
      <c r="D116" t="s">
        <v>48</v>
      </c>
      <c r="E116" t="s">
        <v>49</v>
      </c>
      <c r="F116" t="s">
        <v>50</v>
      </c>
      <c r="G116" t="s">
        <v>56</v>
      </c>
      <c r="H116" t="s">
        <v>57</v>
      </c>
      <c r="I116" t="s">
        <v>58</v>
      </c>
      <c r="J116" t="s">
        <v>60</v>
      </c>
      <c r="K116" t="s">
        <v>61</v>
      </c>
    </row>
    <row r="117" spans="1:12" ht="15" customHeight="1" x14ac:dyDescent="0.3">
      <c r="A117" s="2">
        <v>116</v>
      </c>
      <c r="B117">
        <v>11</v>
      </c>
      <c r="C117" s="2">
        <f>IF($B117=Config!$B$2,1,0)</f>
        <v>0</v>
      </c>
      <c r="D117" t="s">
        <v>48</v>
      </c>
      <c r="E117" t="s">
        <v>49</v>
      </c>
      <c r="F117" t="s">
        <v>50</v>
      </c>
      <c r="G117" t="s">
        <v>56</v>
      </c>
      <c r="H117" t="s">
        <v>52</v>
      </c>
      <c r="I117" t="s">
        <v>58</v>
      </c>
      <c r="J117" t="s">
        <v>53</v>
      </c>
      <c r="K117" t="s">
        <v>60</v>
      </c>
    </row>
    <row r="118" spans="1:12" ht="15" customHeight="1" x14ac:dyDescent="0.3">
      <c r="A118" s="2">
        <v>117</v>
      </c>
      <c r="B118">
        <v>11</v>
      </c>
      <c r="C118" s="2">
        <f>IF($B118=Config!$B$2,1,0)</f>
        <v>0</v>
      </c>
      <c r="D118" t="s">
        <v>48</v>
      </c>
      <c r="E118" t="s">
        <v>49</v>
      </c>
      <c r="F118" t="s">
        <v>50</v>
      </c>
      <c r="G118" t="s">
        <v>51</v>
      </c>
      <c r="H118" t="s">
        <v>52</v>
      </c>
      <c r="I118" t="s">
        <v>65</v>
      </c>
      <c r="J118" t="s">
        <v>63</v>
      </c>
      <c r="K118" t="s">
        <v>55</v>
      </c>
    </row>
    <row r="119" spans="1:12" ht="15" customHeight="1" x14ac:dyDescent="0.3">
      <c r="A119" s="2">
        <v>118</v>
      </c>
      <c r="B119">
        <v>11</v>
      </c>
      <c r="C119" s="2">
        <f>IF($B119=Config!$B$2,1,0)</f>
        <v>0</v>
      </c>
      <c r="D119" t="s">
        <v>48</v>
      </c>
      <c r="E119" t="s">
        <v>49</v>
      </c>
      <c r="F119" t="s">
        <v>50</v>
      </c>
      <c r="G119" t="s">
        <v>51</v>
      </c>
      <c r="H119" t="s">
        <v>57</v>
      </c>
      <c r="I119" t="s">
        <v>65</v>
      </c>
      <c r="J119" t="s">
        <v>59</v>
      </c>
      <c r="K119" t="s">
        <v>64</v>
      </c>
      <c r="L119" t="s">
        <v>55</v>
      </c>
    </row>
    <row r="120" spans="1:12" ht="15" customHeight="1" x14ac:dyDescent="0.3">
      <c r="A120" s="2">
        <v>119</v>
      </c>
      <c r="B120">
        <v>11</v>
      </c>
      <c r="C120" s="2">
        <f>IF($B120=Config!$B$2,1,0)</f>
        <v>0</v>
      </c>
      <c r="D120" t="s">
        <v>48</v>
      </c>
      <c r="E120" t="s">
        <v>49</v>
      </c>
      <c r="F120" t="s">
        <v>50</v>
      </c>
      <c r="G120" t="s">
        <v>51</v>
      </c>
      <c r="H120" t="s">
        <v>52</v>
      </c>
      <c r="I120" t="s">
        <v>65</v>
      </c>
      <c r="J120" t="s">
        <v>60</v>
      </c>
      <c r="K120" t="s">
        <v>66</v>
      </c>
    </row>
    <row r="121" spans="1:12" ht="15" customHeight="1" x14ac:dyDescent="0.3">
      <c r="A121" s="2">
        <v>120</v>
      </c>
      <c r="B121">
        <v>11</v>
      </c>
      <c r="C121" s="2">
        <f>IF($B121=Config!$B$2,1,0)</f>
        <v>0</v>
      </c>
      <c r="D121" t="s">
        <v>48</v>
      </c>
      <c r="E121" t="s">
        <v>49</v>
      </c>
      <c r="F121" t="s">
        <v>50</v>
      </c>
      <c r="G121" t="s">
        <v>51</v>
      </c>
      <c r="H121" t="s">
        <v>52</v>
      </c>
      <c r="I121" t="s">
        <v>59</v>
      </c>
      <c r="J121" t="s">
        <v>60</v>
      </c>
      <c r="K121" t="s">
        <v>66</v>
      </c>
    </row>
    <row r="122" spans="1:12" ht="15" customHeight="1" x14ac:dyDescent="0.3">
      <c r="A122" s="2">
        <v>121</v>
      </c>
      <c r="B122">
        <v>11</v>
      </c>
      <c r="C122" s="2">
        <f>IF($B122=Config!$B$2,1,0)</f>
        <v>0</v>
      </c>
      <c r="D122" t="s">
        <v>48</v>
      </c>
      <c r="E122" t="s">
        <v>49</v>
      </c>
      <c r="F122" t="s">
        <v>50</v>
      </c>
      <c r="G122" t="s">
        <v>51</v>
      </c>
      <c r="H122" t="s">
        <v>52</v>
      </c>
      <c r="I122" t="s">
        <v>65</v>
      </c>
      <c r="J122" t="s">
        <v>58</v>
      </c>
      <c r="K122" t="s">
        <v>64</v>
      </c>
      <c r="L122" t="s">
        <v>55</v>
      </c>
    </row>
    <row r="123" spans="1:12" ht="15" customHeight="1" x14ac:dyDescent="0.3">
      <c r="A123" s="2">
        <v>122</v>
      </c>
      <c r="B123">
        <v>11</v>
      </c>
      <c r="C123" s="2">
        <f>IF($B123=Config!$B$2,1,0)</f>
        <v>0</v>
      </c>
      <c r="D123" t="s">
        <v>48</v>
      </c>
      <c r="E123" t="s">
        <v>49</v>
      </c>
      <c r="F123" t="s">
        <v>50</v>
      </c>
      <c r="G123" t="s">
        <v>56</v>
      </c>
      <c r="H123" t="s">
        <v>52</v>
      </c>
      <c r="I123" t="s">
        <v>58</v>
      </c>
      <c r="J123" t="s">
        <v>61</v>
      </c>
      <c r="K123" t="s">
        <v>62</v>
      </c>
    </row>
    <row r="124" spans="1:12" ht="15" customHeight="1" x14ac:dyDescent="0.3">
      <c r="A124" s="2">
        <v>123</v>
      </c>
      <c r="B124">
        <v>11</v>
      </c>
      <c r="C124" s="2">
        <f>IF($B124=Config!$B$2,1,0)</f>
        <v>0</v>
      </c>
      <c r="D124" t="s">
        <v>48</v>
      </c>
      <c r="E124" t="s">
        <v>49</v>
      </c>
      <c r="F124" t="s">
        <v>50</v>
      </c>
      <c r="G124" t="s">
        <v>56</v>
      </c>
      <c r="H124" t="s">
        <v>52</v>
      </c>
      <c r="I124" t="s">
        <v>58</v>
      </c>
      <c r="J124" t="s">
        <v>63</v>
      </c>
      <c r="K124" t="s">
        <v>67</v>
      </c>
    </row>
    <row r="125" spans="1:12" ht="15" customHeight="1" x14ac:dyDescent="0.3">
      <c r="A125" s="2">
        <v>124</v>
      </c>
      <c r="B125">
        <v>11</v>
      </c>
      <c r="C125" s="2">
        <f>IF($B125=Config!$B$2,1,0)</f>
        <v>0</v>
      </c>
      <c r="D125" t="s">
        <v>48</v>
      </c>
      <c r="E125" t="s">
        <v>49</v>
      </c>
      <c r="F125" t="s">
        <v>50</v>
      </c>
      <c r="G125" t="s">
        <v>56</v>
      </c>
      <c r="H125" t="s">
        <v>52</v>
      </c>
      <c r="I125" t="s">
        <v>65</v>
      </c>
      <c r="J125" t="s">
        <v>58</v>
      </c>
      <c r="K125" t="s">
        <v>64</v>
      </c>
    </row>
    <row r="126" spans="1:12" ht="15" customHeight="1" x14ac:dyDescent="0.3">
      <c r="A126" s="2">
        <v>125</v>
      </c>
      <c r="B126">
        <v>11</v>
      </c>
      <c r="C126" s="2">
        <f>IF($B126=Config!$B$2,1,0)</f>
        <v>0</v>
      </c>
      <c r="D126" t="s">
        <v>48</v>
      </c>
      <c r="E126" t="s">
        <v>49</v>
      </c>
      <c r="F126" t="s">
        <v>50</v>
      </c>
      <c r="G126" t="s">
        <v>56</v>
      </c>
      <c r="H126" t="s">
        <v>52</v>
      </c>
      <c r="I126" t="s">
        <v>58</v>
      </c>
      <c r="J126" t="s">
        <v>60</v>
      </c>
      <c r="K126" t="s">
        <v>64</v>
      </c>
    </row>
    <row r="127" spans="1:12" ht="15" customHeight="1" x14ac:dyDescent="0.3">
      <c r="A127" s="2">
        <v>126</v>
      </c>
      <c r="B127">
        <v>11</v>
      </c>
      <c r="C127" s="2">
        <f>IF($B127=Config!$B$2,1,0)</f>
        <v>0</v>
      </c>
      <c r="D127" t="s">
        <v>48</v>
      </c>
      <c r="E127" t="s">
        <v>49</v>
      </c>
      <c r="F127" t="s">
        <v>50</v>
      </c>
      <c r="G127" t="s">
        <v>51</v>
      </c>
      <c r="H127" t="s">
        <v>57</v>
      </c>
      <c r="I127" t="s">
        <v>64</v>
      </c>
      <c r="J127" t="s">
        <v>55</v>
      </c>
      <c r="K127" t="s">
        <v>62</v>
      </c>
    </row>
    <row r="128" spans="1:12" ht="15" customHeight="1" x14ac:dyDescent="0.3">
      <c r="A128" s="2">
        <v>127</v>
      </c>
      <c r="B128">
        <v>11</v>
      </c>
      <c r="C128" s="2">
        <f>IF($B128=Config!$B$2,1,0)</f>
        <v>0</v>
      </c>
      <c r="D128" t="s">
        <v>48</v>
      </c>
      <c r="E128" t="s">
        <v>49</v>
      </c>
      <c r="F128" t="s">
        <v>50</v>
      </c>
      <c r="G128" t="s">
        <v>56</v>
      </c>
      <c r="H128" t="s">
        <v>57</v>
      </c>
      <c r="I128" t="s">
        <v>58</v>
      </c>
      <c r="J128" t="s">
        <v>53</v>
      </c>
      <c r="K128" t="s">
        <v>67</v>
      </c>
    </row>
    <row r="129" spans="1:12" ht="15" customHeight="1" x14ac:dyDescent="0.3">
      <c r="A129" s="2">
        <v>128</v>
      </c>
      <c r="B129">
        <v>11</v>
      </c>
      <c r="C129" s="2">
        <f>IF($B129=Config!$B$2,1,0)</f>
        <v>0</v>
      </c>
      <c r="D129" t="s">
        <v>48</v>
      </c>
      <c r="E129" t="s">
        <v>49</v>
      </c>
      <c r="F129" t="s">
        <v>50</v>
      </c>
      <c r="G129" t="s">
        <v>51</v>
      </c>
      <c r="H129" t="s">
        <v>52</v>
      </c>
      <c r="I129" t="s">
        <v>63</v>
      </c>
      <c r="J129" t="s">
        <v>54</v>
      </c>
      <c r="K129" t="s">
        <v>55</v>
      </c>
    </row>
    <row r="130" spans="1:12" ht="15" customHeight="1" x14ac:dyDescent="0.3">
      <c r="A130" s="2">
        <v>129</v>
      </c>
      <c r="B130">
        <v>11</v>
      </c>
      <c r="C130" s="2">
        <f>IF($B130=Config!$B$2,1,0)</f>
        <v>0</v>
      </c>
      <c r="D130" t="s">
        <v>48</v>
      </c>
      <c r="E130" t="s">
        <v>49</v>
      </c>
      <c r="F130" t="s">
        <v>50</v>
      </c>
      <c r="G130" t="s">
        <v>56</v>
      </c>
      <c r="H130" t="s">
        <v>52</v>
      </c>
      <c r="I130" t="s">
        <v>58</v>
      </c>
      <c r="J130" t="s">
        <v>60</v>
      </c>
      <c r="K130" t="s">
        <v>61</v>
      </c>
      <c r="L130" t="s">
        <v>64</v>
      </c>
    </row>
    <row r="131" spans="1:12" ht="15" customHeight="1" x14ac:dyDescent="0.3">
      <c r="A131" s="2">
        <v>130</v>
      </c>
      <c r="B131">
        <v>11</v>
      </c>
      <c r="C131" s="2">
        <f>IF($B131=Config!$B$2,1,0)</f>
        <v>0</v>
      </c>
      <c r="D131" t="s">
        <v>48</v>
      </c>
      <c r="E131" t="s">
        <v>49</v>
      </c>
      <c r="F131" t="s">
        <v>50</v>
      </c>
      <c r="G131" t="s">
        <v>51</v>
      </c>
      <c r="H131" t="s">
        <v>52</v>
      </c>
      <c r="I131" t="s">
        <v>63</v>
      </c>
      <c r="J131" t="s">
        <v>54</v>
      </c>
      <c r="K131" t="s">
        <v>64</v>
      </c>
      <c r="L131" t="s">
        <v>55</v>
      </c>
    </row>
    <row r="132" spans="1:12" ht="15" customHeight="1" x14ac:dyDescent="0.3">
      <c r="A132" s="2">
        <v>131</v>
      </c>
      <c r="B132">
        <v>11</v>
      </c>
      <c r="C132" s="2">
        <f>IF($B132=Config!$B$2,1,0)</f>
        <v>0</v>
      </c>
      <c r="D132" t="s">
        <v>48</v>
      </c>
      <c r="E132" t="s">
        <v>49</v>
      </c>
      <c r="F132" t="s">
        <v>50</v>
      </c>
      <c r="G132" t="s">
        <v>51</v>
      </c>
      <c r="H132" t="s">
        <v>52</v>
      </c>
      <c r="I132" t="s">
        <v>65</v>
      </c>
      <c r="J132" t="s">
        <v>59</v>
      </c>
      <c r="K132" t="s">
        <v>64</v>
      </c>
      <c r="L132" t="s">
        <v>55</v>
      </c>
    </row>
    <row r="133" spans="1:12" ht="15" customHeight="1" x14ac:dyDescent="0.3">
      <c r="A133" s="2">
        <v>132</v>
      </c>
      <c r="B133">
        <v>11</v>
      </c>
      <c r="C133" s="2">
        <f>IF($B133=Config!$B$2,1,0)</f>
        <v>0</v>
      </c>
      <c r="D133" t="s">
        <v>48</v>
      </c>
      <c r="E133" t="s">
        <v>49</v>
      </c>
      <c r="F133" t="s">
        <v>50</v>
      </c>
      <c r="G133" t="s">
        <v>51</v>
      </c>
      <c r="H133" t="s">
        <v>57</v>
      </c>
      <c r="I133" t="s">
        <v>63</v>
      </c>
      <c r="J133" t="s">
        <v>54</v>
      </c>
      <c r="K133" t="s">
        <v>64</v>
      </c>
      <c r="L133" t="s">
        <v>55</v>
      </c>
    </row>
    <row r="134" spans="1:12" ht="15" customHeight="1" x14ac:dyDescent="0.3">
      <c r="A134" s="2">
        <v>133</v>
      </c>
      <c r="B134">
        <v>11</v>
      </c>
      <c r="C134" s="2">
        <f>IF($B134=Config!$B$2,1,0)</f>
        <v>0</v>
      </c>
      <c r="D134" t="s">
        <v>48</v>
      </c>
      <c r="E134" t="s">
        <v>49</v>
      </c>
      <c r="F134" t="s">
        <v>50</v>
      </c>
      <c r="G134" t="s">
        <v>51</v>
      </c>
      <c r="H134" t="s">
        <v>52</v>
      </c>
      <c r="I134" t="s">
        <v>58</v>
      </c>
      <c r="J134" t="s">
        <v>63</v>
      </c>
      <c r="K134" t="s">
        <v>67</v>
      </c>
    </row>
    <row r="135" spans="1:12" ht="15" customHeight="1" x14ac:dyDescent="0.3">
      <c r="A135" s="2">
        <v>134</v>
      </c>
      <c r="B135">
        <v>11</v>
      </c>
      <c r="C135" s="2">
        <f>IF($B135=Config!$B$2,1,0)</f>
        <v>0</v>
      </c>
      <c r="D135" t="s">
        <v>48</v>
      </c>
      <c r="E135" t="s">
        <v>49</v>
      </c>
      <c r="F135" t="s">
        <v>50</v>
      </c>
      <c r="G135" t="s">
        <v>51</v>
      </c>
      <c r="H135" t="s">
        <v>52</v>
      </c>
      <c r="I135" t="s">
        <v>68</v>
      </c>
      <c r="J135" t="s">
        <v>61</v>
      </c>
      <c r="K135" t="s">
        <v>55</v>
      </c>
      <c r="L135" t="s">
        <v>62</v>
      </c>
    </row>
    <row r="136" spans="1:12" ht="15" customHeight="1" x14ac:dyDescent="0.3">
      <c r="A136" s="2">
        <v>135</v>
      </c>
      <c r="B136">
        <v>11</v>
      </c>
      <c r="C136" s="2">
        <f>IF($B136=Config!$B$2,1,0)</f>
        <v>0</v>
      </c>
      <c r="D136" t="s">
        <v>48</v>
      </c>
      <c r="E136" t="s">
        <v>49</v>
      </c>
      <c r="F136" t="s">
        <v>50</v>
      </c>
      <c r="G136" t="s">
        <v>56</v>
      </c>
      <c r="H136" t="s">
        <v>57</v>
      </c>
      <c r="I136" t="s">
        <v>58</v>
      </c>
      <c r="J136" t="s">
        <v>61</v>
      </c>
      <c r="K136" t="s">
        <v>64</v>
      </c>
    </row>
    <row r="137" spans="1:12" ht="15" customHeight="1" x14ac:dyDescent="0.3">
      <c r="A137" s="2">
        <v>136</v>
      </c>
      <c r="B137">
        <v>11</v>
      </c>
      <c r="C137" s="2">
        <f>IF($B137=Config!$B$2,1,0)</f>
        <v>0</v>
      </c>
      <c r="D137" t="s">
        <v>48</v>
      </c>
      <c r="E137" t="s">
        <v>49</v>
      </c>
      <c r="F137" t="s">
        <v>50</v>
      </c>
      <c r="G137" t="s">
        <v>56</v>
      </c>
      <c r="H137" t="s">
        <v>57</v>
      </c>
      <c r="I137" t="s">
        <v>58</v>
      </c>
      <c r="J137" t="s">
        <v>67</v>
      </c>
      <c r="K137" t="s">
        <v>64</v>
      </c>
    </row>
    <row r="138" spans="1:12" ht="15" customHeight="1" x14ac:dyDescent="0.3">
      <c r="A138" s="2">
        <v>137</v>
      </c>
      <c r="B138">
        <v>11</v>
      </c>
      <c r="C138" s="2">
        <f>IF($B138=Config!$B$2,1,0)</f>
        <v>0</v>
      </c>
      <c r="D138" t="s">
        <v>48</v>
      </c>
      <c r="E138" t="s">
        <v>49</v>
      </c>
      <c r="F138" t="s">
        <v>50</v>
      </c>
      <c r="G138" t="s">
        <v>51</v>
      </c>
      <c r="H138" t="s">
        <v>57</v>
      </c>
      <c r="I138" t="s">
        <v>58</v>
      </c>
      <c r="J138" t="s">
        <v>53</v>
      </c>
      <c r="K138" t="s">
        <v>63</v>
      </c>
      <c r="L138" t="s">
        <v>55</v>
      </c>
    </row>
    <row r="139" spans="1:12" ht="15" customHeight="1" x14ac:dyDescent="0.3">
      <c r="A139" s="2">
        <v>138</v>
      </c>
      <c r="B139">
        <v>11</v>
      </c>
      <c r="C139" s="2">
        <f>IF($B139=Config!$B$2,1,0)</f>
        <v>0</v>
      </c>
      <c r="D139" t="s">
        <v>48</v>
      </c>
      <c r="E139" t="s">
        <v>49</v>
      </c>
      <c r="F139" t="s">
        <v>50</v>
      </c>
      <c r="G139" t="s">
        <v>56</v>
      </c>
      <c r="H139" t="s">
        <v>52</v>
      </c>
      <c r="I139" t="s">
        <v>58</v>
      </c>
      <c r="J139" t="s">
        <v>53</v>
      </c>
      <c r="K139" t="s">
        <v>60</v>
      </c>
      <c r="L139" t="s">
        <v>62</v>
      </c>
    </row>
    <row r="140" spans="1:12" ht="15" customHeight="1" x14ac:dyDescent="0.3">
      <c r="A140" s="2">
        <v>139</v>
      </c>
      <c r="B140">
        <v>11</v>
      </c>
      <c r="C140" s="2">
        <f>IF($B140=Config!$B$2,1,0)</f>
        <v>0</v>
      </c>
      <c r="D140" t="s">
        <v>48</v>
      </c>
      <c r="E140" t="s">
        <v>49</v>
      </c>
      <c r="F140" t="s">
        <v>50</v>
      </c>
      <c r="G140" t="s">
        <v>51</v>
      </c>
      <c r="H140" t="s">
        <v>57</v>
      </c>
      <c r="I140" t="s">
        <v>54</v>
      </c>
      <c r="J140" t="s">
        <v>64</v>
      </c>
      <c r="K140" t="s">
        <v>55</v>
      </c>
    </row>
    <row r="141" spans="1:12" ht="15" customHeight="1" x14ac:dyDescent="0.3">
      <c r="A141" s="2">
        <v>140</v>
      </c>
      <c r="B141">
        <v>11</v>
      </c>
      <c r="C141" s="2">
        <f>IF($B141=Config!$B$2,1,0)</f>
        <v>0</v>
      </c>
      <c r="D141" t="s">
        <v>48</v>
      </c>
      <c r="E141" t="s">
        <v>49</v>
      </c>
      <c r="F141" t="s">
        <v>50</v>
      </c>
      <c r="G141" t="s">
        <v>56</v>
      </c>
      <c r="H141" t="s">
        <v>57</v>
      </c>
      <c r="I141" t="s">
        <v>58</v>
      </c>
      <c r="J141" t="s">
        <v>53</v>
      </c>
      <c r="K141" t="s">
        <v>60</v>
      </c>
      <c r="L141" t="s">
        <v>61</v>
      </c>
    </row>
    <row r="142" spans="1:12" ht="15" customHeight="1" x14ac:dyDescent="0.3">
      <c r="A142" s="2">
        <v>141</v>
      </c>
      <c r="B142">
        <v>11</v>
      </c>
      <c r="C142" s="2">
        <f>IF($B142=Config!$B$2,1,0)</f>
        <v>0</v>
      </c>
      <c r="D142" t="s">
        <v>48</v>
      </c>
      <c r="E142" t="s">
        <v>49</v>
      </c>
      <c r="F142" t="s">
        <v>50</v>
      </c>
      <c r="G142" t="s">
        <v>51</v>
      </c>
      <c r="H142" t="s">
        <v>52</v>
      </c>
      <c r="I142" t="s">
        <v>63</v>
      </c>
      <c r="J142" t="s">
        <v>54</v>
      </c>
      <c r="K142" t="s">
        <v>62</v>
      </c>
    </row>
    <row r="143" spans="1:12" ht="15" customHeight="1" x14ac:dyDescent="0.3">
      <c r="A143" s="2">
        <v>142</v>
      </c>
      <c r="B143">
        <v>11</v>
      </c>
      <c r="C143" s="2">
        <f>IF($B143=Config!$B$2,1,0)</f>
        <v>0</v>
      </c>
      <c r="D143" t="s">
        <v>48</v>
      </c>
      <c r="E143" t="s">
        <v>49</v>
      </c>
      <c r="F143" t="s">
        <v>50</v>
      </c>
      <c r="G143" t="s">
        <v>51</v>
      </c>
      <c r="H143" t="s">
        <v>52</v>
      </c>
      <c r="I143" t="s">
        <v>53</v>
      </c>
      <c r="J143" t="s">
        <v>63</v>
      </c>
      <c r="K143" t="s">
        <v>55</v>
      </c>
    </row>
    <row r="144" spans="1:12" ht="15" customHeight="1" x14ac:dyDescent="0.3">
      <c r="A144" s="2">
        <v>143</v>
      </c>
      <c r="B144">
        <v>11</v>
      </c>
      <c r="C144" s="2">
        <f>IF($B144=Config!$B$2,1,0)</f>
        <v>0</v>
      </c>
      <c r="D144" t="s">
        <v>48</v>
      </c>
      <c r="E144" t="s">
        <v>49</v>
      </c>
      <c r="F144" t="s">
        <v>50</v>
      </c>
      <c r="G144" t="s">
        <v>56</v>
      </c>
      <c r="H144" t="s">
        <v>52</v>
      </c>
      <c r="I144" t="s">
        <v>58</v>
      </c>
      <c r="J144" t="s">
        <v>59</v>
      </c>
      <c r="K144" t="s">
        <v>60</v>
      </c>
    </row>
    <row r="145" spans="1:12" ht="15" customHeight="1" x14ac:dyDescent="0.3">
      <c r="A145" s="2">
        <v>144</v>
      </c>
      <c r="B145">
        <v>11</v>
      </c>
      <c r="C145" s="2">
        <f>IF($B145=Config!$B$2,1,0)</f>
        <v>0</v>
      </c>
      <c r="D145" t="s">
        <v>48</v>
      </c>
      <c r="E145" t="s">
        <v>49</v>
      </c>
      <c r="F145" t="s">
        <v>50</v>
      </c>
      <c r="G145" t="s">
        <v>51</v>
      </c>
      <c r="H145" t="s">
        <v>52</v>
      </c>
      <c r="I145" t="s">
        <v>53</v>
      </c>
      <c r="J145" t="s">
        <v>63</v>
      </c>
      <c r="K145" t="s">
        <v>54</v>
      </c>
      <c r="L145" t="s">
        <v>55</v>
      </c>
    </row>
    <row r="146" spans="1:12" ht="15" customHeight="1" x14ac:dyDescent="0.3">
      <c r="A146" s="2">
        <v>145</v>
      </c>
      <c r="B146">
        <v>11</v>
      </c>
      <c r="C146" s="2">
        <f>IF($B146=Config!$B$2,1,0)</f>
        <v>0</v>
      </c>
      <c r="D146" t="s">
        <v>48</v>
      </c>
      <c r="E146" t="s">
        <v>49</v>
      </c>
      <c r="F146" t="s">
        <v>50</v>
      </c>
      <c r="G146" t="s">
        <v>51</v>
      </c>
      <c r="H146" t="s">
        <v>52</v>
      </c>
      <c r="I146" t="s">
        <v>65</v>
      </c>
      <c r="J146" t="s">
        <v>64</v>
      </c>
      <c r="K146" t="s">
        <v>55</v>
      </c>
    </row>
    <row r="147" spans="1:12" ht="15" customHeight="1" x14ac:dyDescent="0.3">
      <c r="A147" s="2">
        <v>146</v>
      </c>
      <c r="B147">
        <v>11</v>
      </c>
      <c r="C147" s="2">
        <f>IF($B147=Config!$B$2,1,0)</f>
        <v>0</v>
      </c>
      <c r="D147" t="s">
        <v>48</v>
      </c>
      <c r="E147" t="s">
        <v>49</v>
      </c>
      <c r="F147" t="s">
        <v>50</v>
      </c>
      <c r="G147" t="s">
        <v>51</v>
      </c>
      <c r="H147" t="s">
        <v>52</v>
      </c>
      <c r="I147" t="s">
        <v>65</v>
      </c>
      <c r="J147" t="s">
        <v>64</v>
      </c>
      <c r="K147" t="s">
        <v>55</v>
      </c>
    </row>
    <row r="148" spans="1:12" ht="15" customHeight="1" x14ac:dyDescent="0.3">
      <c r="A148" s="2">
        <v>147</v>
      </c>
      <c r="B148">
        <v>11</v>
      </c>
      <c r="C148" s="2">
        <f>IF($B148=Config!$B$2,1,0)</f>
        <v>0</v>
      </c>
      <c r="D148" t="s">
        <v>48</v>
      </c>
      <c r="E148" t="s">
        <v>49</v>
      </c>
      <c r="F148" t="s">
        <v>50</v>
      </c>
      <c r="G148" t="s">
        <v>56</v>
      </c>
      <c r="H148" t="s">
        <v>52</v>
      </c>
      <c r="I148" t="s">
        <v>58</v>
      </c>
      <c r="J148" t="s">
        <v>60</v>
      </c>
      <c r="K148" t="s">
        <v>61</v>
      </c>
      <c r="L148" t="s">
        <v>64</v>
      </c>
    </row>
    <row r="149" spans="1:12" ht="15" customHeight="1" x14ac:dyDescent="0.3">
      <c r="A149" s="2">
        <v>148</v>
      </c>
      <c r="B149">
        <v>11</v>
      </c>
      <c r="C149" s="2">
        <f>IF($B149=Config!$B$2,1,0)</f>
        <v>0</v>
      </c>
      <c r="D149" t="s">
        <v>48</v>
      </c>
      <c r="E149" t="s">
        <v>49</v>
      </c>
      <c r="F149" t="s">
        <v>50</v>
      </c>
      <c r="G149" t="s">
        <v>51</v>
      </c>
      <c r="H149" t="s">
        <v>52</v>
      </c>
      <c r="I149" t="s">
        <v>65</v>
      </c>
      <c r="J149" t="s">
        <v>58</v>
      </c>
      <c r="K149" t="s">
        <v>55</v>
      </c>
    </row>
    <row r="150" spans="1:12" ht="15" customHeight="1" x14ac:dyDescent="0.3">
      <c r="A150" s="2">
        <v>149</v>
      </c>
      <c r="B150">
        <v>11</v>
      </c>
      <c r="C150" s="2">
        <f>IF($B150=Config!$B$2,1,0)</f>
        <v>0</v>
      </c>
      <c r="D150" t="s">
        <v>48</v>
      </c>
      <c r="E150" t="s">
        <v>49</v>
      </c>
      <c r="F150" t="s">
        <v>50</v>
      </c>
      <c r="G150" t="s">
        <v>51</v>
      </c>
      <c r="H150" t="s">
        <v>52</v>
      </c>
      <c r="I150" t="s">
        <v>65</v>
      </c>
      <c r="J150" t="s">
        <v>64</v>
      </c>
      <c r="K150" t="s">
        <v>55</v>
      </c>
    </row>
    <row r="151" spans="1:12" ht="15" customHeight="1" x14ac:dyDescent="0.3">
      <c r="A151" s="2">
        <v>150</v>
      </c>
      <c r="B151">
        <v>11</v>
      </c>
      <c r="C151" s="2">
        <f>IF($B151=Config!$B$2,1,0)</f>
        <v>0</v>
      </c>
      <c r="D151" t="s">
        <v>48</v>
      </c>
      <c r="E151" t="s">
        <v>49</v>
      </c>
      <c r="F151" t="s">
        <v>50</v>
      </c>
      <c r="G151" t="s">
        <v>56</v>
      </c>
      <c r="H151" t="s">
        <v>57</v>
      </c>
      <c r="I151" t="s">
        <v>58</v>
      </c>
      <c r="J151" t="s">
        <v>53</v>
      </c>
      <c r="K151" t="s">
        <v>60</v>
      </c>
      <c r="L151" t="s">
        <v>61</v>
      </c>
    </row>
    <row r="152" spans="1:12" ht="15" customHeight="1" x14ac:dyDescent="0.3">
      <c r="A152" s="2">
        <v>151</v>
      </c>
      <c r="B152">
        <v>11</v>
      </c>
      <c r="C152" s="2">
        <f>IF($B152=Config!$B$2,1,0)</f>
        <v>0</v>
      </c>
      <c r="D152" t="s">
        <v>48</v>
      </c>
      <c r="E152" t="s">
        <v>49</v>
      </c>
      <c r="F152" t="s">
        <v>50</v>
      </c>
      <c r="G152" t="s">
        <v>56</v>
      </c>
      <c r="H152" t="s">
        <v>57</v>
      </c>
      <c r="I152" t="s">
        <v>58</v>
      </c>
      <c r="J152" t="s">
        <v>60</v>
      </c>
      <c r="K152" t="s">
        <v>61</v>
      </c>
    </row>
    <row r="153" spans="1:12" ht="15" customHeight="1" x14ac:dyDescent="0.3">
      <c r="A153" s="2">
        <v>152</v>
      </c>
      <c r="B153">
        <v>11</v>
      </c>
      <c r="C153" s="2">
        <f>IF($B153=Config!$B$2,1,0)</f>
        <v>0</v>
      </c>
      <c r="D153" t="s">
        <v>48</v>
      </c>
      <c r="E153" t="s">
        <v>49</v>
      </c>
      <c r="F153" t="s">
        <v>50</v>
      </c>
      <c r="G153" t="s">
        <v>51</v>
      </c>
      <c r="H153" t="s">
        <v>52</v>
      </c>
      <c r="I153" t="s">
        <v>63</v>
      </c>
      <c r="J153" t="s">
        <v>68</v>
      </c>
      <c r="K153" t="s">
        <v>64</v>
      </c>
      <c r="L153" t="s">
        <v>55</v>
      </c>
    </row>
    <row r="154" spans="1:12" ht="15" customHeight="1" x14ac:dyDescent="0.3">
      <c r="A154" s="2">
        <v>153</v>
      </c>
      <c r="B154">
        <v>11</v>
      </c>
      <c r="C154" s="2">
        <f>IF($B154=Config!$B$2,1,0)</f>
        <v>0</v>
      </c>
      <c r="D154" t="s">
        <v>48</v>
      </c>
      <c r="E154" t="s">
        <v>49</v>
      </c>
      <c r="F154" t="s">
        <v>50</v>
      </c>
      <c r="G154" t="s">
        <v>56</v>
      </c>
      <c r="H154" t="s">
        <v>57</v>
      </c>
      <c r="I154" t="s">
        <v>58</v>
      </c>
      <c r="J154" t="s">
        <v>59</v>
      </c>
      <c r="K154" t="s">
        <v>64</v>
      </c>
    </row>
    <row r="155" spans="1:12" ht="15" customHeight="1" x14ac:dyDescent="0.3">
      <c r="A155" s="2">
        <v>154</v>
      </c>
      <c r="B155">
        <v>11</v>
      </c>
      <c r="C155" s="2">
        <f>IF($B155=Config!$B$2,1,0)</f>
        <v>0</v>
      </c>
      <c r="D155" t="s">
        <v>48</v>
      </c>
      <c r="E155" t="s">
        <v>49</v>
      </c>
      <c r="F155" t="s">
        <v>50</v>
      </c>
      <c r="G155" t="s">
        <v>51</v>
      </c>
      <c r="H155" t="s">
        <v>52</v>
      </c>
      <c r="I155" t="s">
        <v>63</v>
      </c>
      <c r="J155" t="s">
        <v>67</v>
      </c>
      <c r="K155" t="s">
        <v>62</v>
      </c>
    </row>
    <row r="156" spans="1:12" ht="15" customHeight="1" x14ac:dyDescent="0.3">
      <c r="A156" s="2">
        <v>155</v>
      </c>
      <c r="B156">
        <v>11</v>
      </c>
      <c r="C156" s="2">
        <f>IF($B156=Config!$B$2,1,0)</f>
        <v>0</v>
      </c>
      <c r="D156" t="s">
        <v>48</v>
      </c>
      <c r="E156" t="s">
        <v>49</v>
      </c>
      <c r="F156" t="s">
        <v>50</v>
      </c>
      <c r="G156" t="s">
        <v>51</v>
      </c>
      <c r="H156" t="s">
        <v>52</v>
      </c>
      <c r="I156" t="s">
        <v>53</v>
      </c>
      <c r="J156" t="s">
        <v>59</v>
      </c>
      <c r="K156" t="s">
        <v>64</v>
      </c>
      <c r="L156" t="s">
        <v>55</v>
      </c>
    </row>
    <row r="157" spans="1:12" ht="15" customHeight="1" x14ac:dyDescent="0.3">
      <c r="A157" s="2">
        <v>156</v>
      </c>
      <c r="B157">
        <v>11</v>
      </c>
      <c r="C157" s="2">
        <f>IF($B157=Config!$B$2,1,0)</f>
        <v>0</v>
      </c>
      <c r="D157" t="s">
        <v>48</v>
      </c>
      <c r="E157" t="s">
        <v>49</v>
      </c>
      <c r="F157" t="s">
        <v>50</v>
      </c>
      <c r="G157" t="s">
        <v>51</v>
      </c>
      <c r="H157" t="s">
        <v>52</v>
      </c>
      <c r="I157" t="s">
        <v>58</v>
      </c>
      <c r="J157" t="s">
        <v>53</v>
      </c>
      <c r="K157" t="s">
        <v>67</v>
      </c>
    </row>
    <row r="158" spans="1:12" ht="15" customHeight="1" x14ac:dyDescent="0.3">
      <c r="A158" s="2">
        <v>157</v>
      </c>
      <c r="B158">
        <v>11</v>
      </c>
      <c r="C158" s="2">
        <f>IF($B158=Config!$B$2,1,0)</f>
        <v>0</v>
      </c>
      <c r="D158" t="s">
        <v>48</v>
      </c>
      <c r="E158" t="s">
        <v>49</v>
      </c>
      <c r="F158" t="s">
        <v>50</v>
      </c>
      <c r="G158" t="s">
        <v>51</v>
      </c>
      <c r="H158" t="s">
        <v>52</v>
      </c>
      <c r="I158" t="s">
        <v>63</v>
      </c>
      <c r="J158" t="s">
        <v>54</v>
      </c>
      <c r="K158" t="s">
        <v>64</v>
      </c>
      <c r="L158" t="s">
        <v>55</v>
      </c>
    </row>
    <row r="159" spans="1:12" ht="15" customHeight="1" x14ac:dyDescent="0.3">
      <c r="A159" s="2">
        <v>158</v>
      </c>
      <c r="B159">
        <v>11</v>
      </c>
      <c r="C159" s="2">
        <f>IF($B159=Config!$B$2,1,0)</f>
        <v>0</v>
      </c>
      <c r="D159" t="s">
        <v>48</v>
      </c>
      <c r="E159" t="s">
        <v>49</v>
      </c>
      <c r="F159" t="s">
        <v>50</v>
      </c>
      <c r="G159" t="s">
        <v>51</v>
      </c>
      <c r="H159" t="s">
        <v>52</v>
      </c>
      <c r="I159" t="s">
        <v>65</v>
      </c>
      <c r="J159" t="s">
        <v>64</v>
      </c>
      <c r="K159" t="s">
        <v>55</v>
      </c>
    </row>
    <row r="160" spans="1:12" ht="15" customHeight="1" x14ac:dyDescent="0.3">
      <c r="A160" s="2">
        <v>159</v>
      </c>
      <c r="B160">
        <v>11</v>
      </c>
      <c r="C160" s="2">
        <f>IF($B160=Config!$B$2,1,0)</f>
        <v>0</v>
      </c>
      <c r="D160" t="s">
        <v>48</v>
      </c>
      <c r="E160" t="s">
        <v>49</v>
      </c>
      <c r="F160" t="s">
        <v>50</v>
      </c>
      <c r="G160" t="s">
        <v>51</v>
      </c>
      <c r="H160" t="s">
        <v>52</v>
      </c>
      <c r="I160" t="s">
        <v>65</v>
      </c>
      <c r="J160" t="s">
        <v>64</v>
      </c>
      <c r="K160" t="s">
        <v>55</v>
      </c>
    </row>
    <row r="161" spans="1:12" ht="15" customHeight="1" x14ac:dyDescent="0.3">
      <c r="A161" s="2">
        <v>160</v>
      </c>
      <c r="B161">
        <v>11</v>
      </c>
      <c r="C161" s="2">
        <f>IF($B161=Config!$B$2,1,0)</f>
        <v>0</v>
      </c>
      <c r="D161" t="s">
        <v>48</v>
      </c>
      <c r="E161" t="s">
        <v>49</v>
      </c>
      <c r="F161" t="s">
        <v>50</v>
      </c>
      <c r="G161" t="s">
        <v>51</v>
      </c>
      <c r="H161" t="s">
        <v>52</v>
      </c>
      <c r="I161" t="s">
        <v>63</v>
      </c>
      <c r="J161" t="s">
        <v>54</v>
      </c>
      <c r="K161" t="s">
        <v>55</v>
      </c>
    </row>
    <row r="162" spans="1:12" ht="15" customHeight="1" x14ac:dyDescent="0.3">
      <c r="A162" s="2">
        <v>161</v>
      </c>
      <c r="B162">
        <v>11</v>
      </c>
      <c r="C162" s="2">
        <f>IF($B162=Config!$B$2,1,0)</f>
        <v>0</v>
      </c>
      <c r="D162" t="s">
        <v>48</v>
      </c>
      <c r="E162" t="s">
        <v>49</v>
      </c>
      <c r="F162" t="s">
        <v>50</v>
      </c>
      <c r="G162" t="s">
        <v>51</v>
      </c>
      <c r="H162" t="s">
        <v>52</v>
      </c>
      <c r="I162" t="s">
        <v>65</v>
      </c>
      <c r="J162" t="s">
        <v>58</v>
      </c>
      <c r="K162" t="s">
        <v>53</v>
      </c>
    </row>
    <row r="163" spans="1:12" ht="15" customHeight="1" x14ac:dyDescent="0.3">
      <c r="A163" s="2">
        <v>162</v>
      </c>
      <c r="B163">
        <v>11</v>
      </c>
      <c r="C163" s="2">
        <f>IF($B163=Config!$B$2,1,0)</f>
        <v>0</v>
      </c>
      <c r="D163" t="s">
        <v>48</v>
      </c>
      <c r="E163" t="s">
        <v>49</v>
      </c>
      <c r="F163" t="s">
        <v>50</v>
      </c>
      <c r="G163" t="s">
        <v>51</v>
      </c>
      <c r="H163" t="s">
        <v>57</v>
      </c>
      <c r="I163" t="s">
        <v>58</v>
      </c>
      <c r="J163" t="s">
        <v>53</v>
      </c>
      <c r="K163" t="s">
        <v>64</v>
      </c>
      <c r="L163" t="s">
        <v>55</v>
      </c>
    </row>
    <row r="164" spans="1:12" ht="15" customHeight="1" x14ac:dyDescent="0.3">
      <c r="A164" s="2">
        <v>163</v>
      </c>
      <c r="B164">
        <v>11</v>
      </c>
      <c r="C164" s="2">
        <f>IF($B164=Config!$B$2,1,0)</f>
        <v>0</v>
      </c>
      <c r="D164" t="s">
        <v>48</v>
      </c>
      <c r="E164" t="s">
        <v>49</v>
      </c>
      <c r="F164" t="s">
        <v>50</v>
      </c>
      <c r="G164" t="s">
        <v>51</v>
      </c>
      <c r="H164" t="s">
        <v>52</v>
      </c>
      <c r="I164" t="s">
        <v>53</v>
      </c>
      <c r="J164" t="s">
        <v>59</v>
      </c>
      <c r="K164" t="s">
        <v>54</v>
      </c>
      <c r="L164" t="s">
        <v>55</v>
      </c>
    </row>
    <row r="165" spans="1:12" ht="15" customHeight="1" x14ac:dyDescent="0.3">
      <c r="A165" s="2">
        <v>164</v>
      </c>
      <c r="B165">
        <v>11</v>
      </c>
      <c r="C165" s="2">
        <f>IF($B165=Config!$B$2,1,0)</f>
        <v>0</v>
      </c>
      <c r="D165" t="s">
        <v>48</v>
      </c>
      <c r="E165" t="s">
        <v>49</v>
      </c>
      <c r="F165" t="s">
        <v>50</v>
      </c>
      <c r="G165" t="s">
        <v>56</v>
      </c>
      <c r="H165" t="s">
        <v>57</v>
      </c>
      <c r="I165" t="s">
        <v>68</v>
      </c>
      <c r="J165" t="s">
        <v>61</v>
      </c>
      <c r="K165" t="s">
        <v>64</v>
      </c>
    </row>
    <row r="166" spans="1:12" ht="15" customHeight="1" x14ac:dyDescent="0.3">
      <c r="A166" s="2">
        <v>165</v>
      </c>
      <c r="B166">
        <v>11</v>
      </c>
      <c r="C166" s="2">
        <f>IF($B166=Config!$B$2,1,0)</f>
        <v>0</v>
      </c>
      <c r="D166" t="s">
        <v>48</v>
      </c>
      <c r="E166" t="s">
        <v>49</v>
      </c>
      <c r="F166" t="s">
        <v>50</v>
      </c>
      <c r="G166" t="s">
        <v>51</v>
      </c>
      <c r="H166" t="s">
        <v>52</v>
      </c>
      <c r="I166" t="s">
        <v>60</v>
      </c>
      <c r="J166" t="s">
        <v>63</v>
      </c>
      <c r="K166" t="s">
        <v>62</v>
      </c>
    </row>
    <row r="167" spans="1:12" ht="15" customHeight="1" x14ac:dyDescent="0.3">
      <c r="A167" s="2">
        <v>166</v>
      </c>
      <c r="B167">
        <v>11</v>
      </c>
      <c r="C167" s="2">
        <f>IF($B167=Config!$B$2,1,0)</f>
        <v>0</v>
      </c>
      <c r="D167" t="s">
        <v>48</v>
      </c>
      <c r="E167" t="s">
        <v>49</v>
      </c>
      <c r="F167" t="s">
        <v>50</v>
      </c>
      <c r="G167" t="s">
        <v>51</v>
      </c>
      <c r="H167" t="s">
        <v>52</v>
      </c>
      <c r="I167" t="s">
        <v>63</v>
      </c>
      <c r="J167" t="s">
        <v>64</v>
      </c>
      <c r="K167" t="s">
        <v>55</v>
      </c>
    </row>
    <row r="168" spans="1:12" ht="15" customHeight="1" x14ac:dyDescent="0.3">
      <c r="A168" s="2">
        <v>167</v>
      </c>
      <c r="B168">
        <v>11</v>
      </c>
      <c r="C168" s="2">
        <f>IF($B168=Config!$B$2,1,0)</f>
        <v>0</v>
      </c>
      <c r="D168" t="s">
        <v>48</v>
      </c>
      <c r="E168" t="s">
        <v>49</v>
      </c>
      <c r="F168" t="s">
        <v>50</v>
      </c>
      <c r="G168" t="s">
        <v>51</v>
      </c>
      <c r="H168" t="s">
        <v>52</v>
      </c>
      <c r="I168" t="s">
        <v>63</v>
      </c>
      <c r="J168" t="s">
        <v>54</v>
      </c>
      <c r="K168" t="s">
        <v>64</v>
      </c>
      <c r="L168" t="s">
        <v>55</v>
      </c>
    </row>
    <row r="169" spans="1:12" ht="15" customHeight="1" x14ac:dyDescent="0.3">
      <c r="A169" s="2">
        <v>168</v>
      </c>
      <c r="B169">
        <v>11</v>
      </c>
      <c r="C169" s="2">
        <f>IF($B169=Config!$B$2,1,0)</f>
        <v>0</v>
      </c>
      <c r="D169" t="s">
        <v>48</v>
      </c>
      <c r="E169" t="s">
        <v>49</v>
      </c>
      <c r="F169" t="s">
        <v>50</v>
      </c>
      <c r="G169" t="s">
        <v>51</v>
      </c>
      <c r="H169" t="s">
        <v>52</v>
      </c>
      <c r="I169" t="s">
        <v>54</v>
      </c>
      <c r="J169" t="s">
        <v>64</v>
      </c>
      <c r="K169" t="s">
        <v>55</v>
      </c>
    </row>
    <row r="170" spans="1:12" ht="15" customHeight="1" x14ac:dyDescent="0.3">
      <c r="A170" s="2">
        <v>169</v>
      </c>
      <c r="B170">
        <v>11</v>
      </c>
      <c r="C170" s="2">
        <f>IF($B170=Config!$B$2,1,0)</f>
        <v>0</v>
      </c>
      <c r="D170" t="s">
        <v>48</v>
      </c>
      <c r="E170" t="s">
        <v>49</v>
      </c>
      <c r="F170" t="s">
        <v>50</v>
      </c>
      <c r="G170" t="s">
        <v>56</v>
      </c>
      <c r="H170" t="s">
        <v>52</v>
      </c>
      <c r="I170" t="s">
        <v>58</v>
      </c>
      <c r="J170" t="s">
        <v>53</v>
      </c>
      <c r="K170" t="s">
        <v>61</v>
      </c>
    </row>
    <row r="171" spans="1:12" ht="15" customHeight="1" x14ac:dyDescent="0.3">
      <c r="A171" s="2">
        <v>170</v>
      </c>
      <c r="B171">
        <v>11</v>
      </c>
      <c r="C171" s="2">
        <f>IF($B171=Config!$B$2,1,0)</f>
        <v>0</v>
      </c>
      <c r="D171" t="s">
        <v>48</v>
      </c>
      <c r="E171" t="s">
        <v>49</v>
      </c>
      <c r="F171" t="s">
        <v>50</v>
      </c>
      <c r="G171" t="s">
        <v>51</v>
      </c>
      <c r="H171" t="s">
        <v>52</v>
      </c>
      <c r="I171" t="s">
        <v>63</v>
      </c>
      <c r="J171" t="s">
        <v>54</v>
      </c>
      <c r="K171" t="s">
        <v>64</v>
      </c>
      <c r="L171" t="s">
        <v>55</v>
      </c>
    </row>
    <row r="172" spans="1:12" ht="15" customHeight="1" x14ac:dyDescent="0.3">
      <c r="A172" s="2">
        <v>171</v>
      </c>
      <c r="B172">
        <v>11</v>
      </c>
      <c r="C172" s="2">
        <f>IF($B172=Config!$B$2,1,0)</f>
        <v>0</v>
      </c>
      <c r="D172" t="s">
        <v>48</v>
      </c>
      <c r="E172" t="s">
        <v>49</v>
      </c>
      <c r="F172" t="s">
        <v>50</v>
      </c>
      <c r="G172" t="s">
        <v>51</v>
      </c>
      <c r="H172" t="s">
        <v>52</v>
      </c>
      <c r="I172" t="s">
        <v>63</v>
      </c>
      <c r="J172" t="s">
        <v>64</v>
      </c>
      <c r="K172" t="s">
        <v>55</v>
      </c>
    </row>
    <row r="173" spans="1:12" ht="15" customHeight="1" x14ac:dyDescent="0.3">
      <c r="A173" s="2">
        <v>172</v>
      </c>
      <c r="B173">
        <v>11</v>
      </c>
      <c r="C173" s="2">
        <f>IF($B173=Config!$B$2,1,0)</f>
        <v>0</v>
      </c>
      <c r="D173" t="s">
        <v>48</v>
      </c>
      <c r="E173" t="s">
        <v>49</v>
      </c>
      <c r="F173" t="s">
        <v>50</v>
      </c>
      <c r="G173" t="s">
        <v>56</v>
      </c>
      <c r="H173" t="s">
        <v>52</v>
      </c>
      <c r="I173" t="s">
        <v>58</v>
      </c>
      <c r="J173" t="s">
        <v>59</v>
      </c>
      <c r="K173" t="s">
        <v>60</v>
      </c>
      <c r="L173" t="s">
        <v>66</v>
      </c>
    </row>
    <row r="174" spans="1:12" ht="15" customHeight="1" x14ac:dyDescent="0.3">
      <c r="A174" s="2">
        <v>173</v>
      </c>
      <c r="B174">
        <v>11</v>
      </c>
      <c r="C174" s="2">
        <f>IF($B174=Config!$B$2,1,0)</f>
        <v>0</v>
      </c>
      <c r="D174" t="s">
        <v>48</v>
      </c>
      <c r="E174" t="s">
        <v>49</v>
      </c>
      <c r="F174" t="s">
        <v>50</v>
      </c>
      <c r="G174" t="s">
        <v>51</v>
      </c>
      <c r="H174" t="s">
        <v>52</v>
      </c>
      <c r="I174" t="s">
        <v>65</v>
      </c>
      <c r="J174" t="s">
        <v>53</v>
      </c>
      <c r="K174" t="s">
        <v>59</v>
      </c>
      <c r="L174" t="s">
        <v>55</v>
      </c>
    </row>
    <row r="175" spans="1:12" ht="15" customHeight="1" x14ac:dyDescent="0.3">
      <c r="A175" s="2">
        <v>174</v>
      </c>
      <c r="B175">
        <v>11</v>
      </c>
      <c r="C175" s="2">
        <f>IF($B175=Config!$B$2,1,0)</f>
        <v>0</v>
      </c>
      <c r="D175" t="s">
        <v>48</v>
      </c>
      <c r="E175" t="s">
        <v>49</v>
      </c>
      <c r="F175" t="s">
        <v>50</v>
      </c>
      <c r="G175" t="s">
        <v>51</v>
      </c>
      <c r="H175" t="s">
        <v>52</v>
      </c>
      <c r="I175" t="s">
        <v>58</v>
      </c>
      <c r="J175" t="s">
        <v>60</v>
      </c>
      <c r="K175" t="s">
        <v>55</v>
      </c>
    </row>
    <row r="176" spans="1:12" ht="15" customHeight="1" x14ac:dyDescent="0.3">
      <c r="A176" s="2">
        <v>175</v>
      </c>
      <c r="B176">
        <v>11</v>
      </c>
      <c r="C176" s="2">
        <f>IF($B176=Config!$B$2,1,0)</f>
        <v>0</v>
      </c>
      <c r="D176" t="s">
        <v>48</v>
      </c>
      <c r="E176" t="s">
        <v>49</v>
      </c>
      <c r="F176" t="s">
        <v>50</v>
      </c>
      <c r="G176" t="s">
        <v>51</v>
      </c>
      <c r="H176" t="s">
        <v>52</v>
      </c>
      <c r="I176" t="s">
        <v>65</v>
      </c>
      <c r="J176" t="s">
        <v>67</v>
      </c>
      <c r="K176" t="s">
        <v>64</v>
      </c>
      <c r="L176" t="s">
        <v>55</v>
      </c>
    </row>
    <row r="177" spans="1:12" ht="15" customHeight="1" x14ac:dyDescent="0.3">
      <c r="A177" s="2">
        <v>176</v>
      </c>
      <c r="B177">
        <v>10</v>
      </c>
      <c r="C177" s="2">
        <f>IF($B177=Config!$B$2,1,0)</f>
        <v>0</v>
      </c>
      <c r="D177" t="s">
        <v>48</v>
      </c>
      <c r="E177" t="s">
        <v>49</v>
      </c>
      <c r="F177" t="s">
        <v>50</v>
      </c>
      <c r="G177" t="s">
        <v>51</v>
      </c>
      <c r="H177" t="s">
        <v>52</v>
      </c>
      <c r="I177" t="s">
        <v>65</v>
      </c>
      <c r="J177" t="s">
        <v>63</v>
      </c>
      <c r="K177" t="s">
        <v>64</v>
      </c>
      <c r="L177" t="s">
        <v>55</v>
      </c>
    </row>
    <row r="178" spans="1:12" ht="15" customHeight="1" x14ac:dyDescent="0.3">
      <c r="A178" s="2">
        <v>177</v>
      </c>
      <c r="B178">
        <v>10</v>
      </c>
      <c r="C178" s="2">
        <f>IF($B178=Config!$B$2,1,0)</f>
        <v>0</v>
      </c>
      <c r="D178" t="s">
        <v>48</v>
      </c>
      <c r="E178" t="s">
        <v>49</v>
      </c>
      <c r="F178" t="s">
        <v>50</v>
      </c>
      <c r="G178" t="s">
        <v>51</v>
      </c>
      <c r="H178" t="s">
        <v>52</v>
      </c>
      <c r="I178" t="s">
        <v>65</v>
      </c>
      <c r="J178" t="s">
        <v>60</v>
      </c>
      <c r="K178" t="s">
        <v>64</v>
      </c>
      <c r="L178" t="s">
        <v>55</v>
      </c>
    </row>
    <row r="179" spans="1:12" ht="15" customHeight="1" x14ac:dyDescent="0.3">
      <c r="A179" s="2">
        <v>178</v>
      </c>
      <c r="B179">
        <v>10</v>
      </c>
      <c r="C179" s="2">
        <f>IF($B179=Config!$B$2,1,0)</f>
        <v>0</v>
      </c>
      <c r="D179" t="s">
        <v>48</v>
      </c>
      <c r="E179" t="s">
        <v>49</v>
      </c>
      <c r="F179" t="s">
        <v>50</v>
      </c>
      <c r="G179" t="s">
        <v>51</v>
      </c>
      <c r="H179" t="s">
        <v>52</v>
      </c>
      <c r="I179" t="s">
        <v>63</v>
      </c>
      <c r="J179" t="s">
        <v>54</v>
      </c>
      <c r="K179" t="s">
        <v>64</v>
      </c>
      <c r="L179" t="s">
        <v>55</v>
      </c>
    </row>
    <row r="180" spans="1:12" ht="15" customHeight="1" x14ac:dyDescent="0.3">
      <c r="A180" s="2">
        <v>179</v>
      </c>
      <c r="B180">
        <v>10</v>
      </c>
      <c r="C180" s="2">
        <f>IF($B180=Config!$B$2,1,0)</f>
        <v>0</v>
      </c>
      <c r="D180" t="s">
        <v>48</v>
      </c>
      <c r="E180" t="s">
        <v>49</v>
      </c>
      <c r="F180" t="s">
        <v>50</v>
      </c>
      <c r="G180" t="s">
        <v>51</v>
      </c>
      <c r="H180" t="s">
        <v>52</v>
      </c>
      <c r="I180" t="s">
        <v>58</v>
      </c>
      <c r="J180" t="s">
        <v>59</v>
      </c>
      <c r="K180" t="s">
        <v>63</v>
      </c>
      <c r="L180" t="s">
        <v>55</v>
      </c>
    </row>
    <row r="181" spans="1:12" ht="15" customHeight="1" x14ac:dyDescent="0.3">
      <c r="A181" s="2">
        <v>180</v>
      </c>
      <c r="B181">
        <v>10</v>
      </c>
      <c r="C181" s="2">
        <f>IF($B181=Config!$B$2,1,0)</f>
        <v>0</v>
      </c>
      <c r="D181" t="s">
        <v>48</v>
      </c>
      <c r="E181" t="s">
        <v>49</v>
      </c>
      <c r="F181" t="s">
        <v>50</v>
      </c>
      <c r="G181" t="s">
        <v>51</v>
      </c>
      <c r="H181" t="s">
        <v>52</v>
      </c>
      <c r="I181" t="s">
        <v>65</v>
      </c>
      <c r="J181" t="s">
        <v>64</v>
      </c>
      <c r="K181" t="s">
        <v>55</v>
      </c>
      <c r="L181" t="s">
        <v>62</v>
      </c>
    </row>
    <row r="182" spans="1:12" ht="15" customHeight="1" x14ac:dyDescent="0.3">
      <c r="A182" s="2">
        <v>181</v>
      </c>
      <c r="B182">
        <v>10</v>
      </c>
      <c r="C182" s="2">
        <f>IF($B182=Config!$B$2,1,0)</f>
        <v>0</v>
      </c>
      <c r="D182" t="s">
        <v>48</v>
      </c>
      <c r="E182" t="s">
        <v>49</v>
      </c>
      <c r="F182" t="s">
        <v>50</v>
      </c>
      <c r="G182" t="s">
        <v>51</v>
      </c>
      <c r="H182" t="s">
        <v>52</v>
      </c>
      <c r="I182" t="s">
        <v>65</v>
      </c>
      <c r="J182" t="s">
        <v>63</v>
      </c>
      <c r="K182" t="s">
        <v>64</v>
      </c>
      <c r="L182" t="s">
        <v>55</v>
      </c>
    </row>
    <row r="183" spans="1:12" ht="15" customHeight="1" x14ac:dyDescent="0.3">
      <c r="A183" s="2">
        <v>182</v>
      </c>
      <c r="B183">
        <v>10</v>
      </c>
      <c r="C183" s="2">
        <f>IF($B183=Config!$B$2,1,0)</f>
        <v>0</v>
      </c>
      <c r="D183" t="s">
        <v>48</v>
      </c>
      <c r="E183" t="s">
        <v>49</v>
      </c>
      <c r="F183" t="s">
        <v>50</v>
      </c>
      <c r="G183" t="s">
        <v>51</v>
      </c>
      <c r="H183" t="s">
        <v>57</v>
      </c>
      <c r="I183" t="s">
        <v>53</v>
      </c>
      <c r="J183" t="s">
        <v>59</v>
      </c>
      <c r="K183" t="s">
        <v>64</v>
      </c>
      <c r="L183" t="s">
        <v>55</v>
      </c>
    </row>
    <row r="184" spans="1:12" ht="15" customHeight="1" x14ac:dyDescent="0.3">
      <c r="A184" s="2">
        <v>183</v>
      </c>
      <c r="B184">
        <v>10</v>
      </c>
      <c r="C184" s="2">
        <f>IF($B184=Config!$B$2,1,0)</f>
        <v>0</v>
      </c>
      <c r="D184" t="s">
        <v>48</v>
      </c>
      <c r="E184" t="s">
        <v>49</v>
      </c>
      <c r="F184" t="s">
        <v>50</v>
      </c>
      <c r="G184" t="s">
        <v>51</v>
      </c>
      <c r="H184" t="s">
        <v>52</v>
      </c>
      <c r="I184" t="s">
        <v>65</v>
      </c>
      <c r="J184" t="s">
        <v>54</v>
      </c>
      <c r="K184" t="s">
        <v>64</v>
      </c>
      <c r="L184" t="s">
        <v>55</v>
      </c>
    </row>
    <row r="185" spans="1:12" ht="15" customHeight="1" x14ac:dyDescent="0.3">
      <c r="A185" s="2">
        <v>184</v>
      </c>
      <c r="B185">
        <v>10</v>
      </c>
      <c r="C185" s="2">
        <f>IF($B185=Config!$B$2,1,0)</f>
        <v>0</v>
      </c>
      <c r="D185" t="s">
        <v>48</v>
      </c>
      <c r="E185" t="s">
        <v>49</v>
      </c>
      <c r="F185" t="s">
        <v>50</v>
      </c>
      <c r="G185" t="s">
        <v>51</v>
      </c>
      <c r="H185" t="s">
        <v>58</v>
      </c>
      <c r="I185" t="s">
        <v>53</v>
      </c>
      <c r="J185" t="s">
        <v>63</v>
      </c>
      <c r="K185" t="s">
        <v>67</v>
      </c>
    </row>
    <row r="186" spans="1:12" ht="15" customHeight="1" x14ac:dyDescent="0.3">
      <c r="A186" s="2">
        <v>185</v>
      </c>
      <c r="B186">
        <v>10</v>
      </c>
      <c r="C186" s="2">
        <f>IF($B186=Config!$B$2,1,0)</f>
        <v>0</v>
      </c>
      <c r="D186" t="s">
        <v>48</v>
      </c>
      <c r="E186" t="s">
        <v>49</v>
      </c>
      <c r="F186" t="s">
        <v>50</v>
      </c>
      <c r="G186" t="s">
        <v>51</v>
      </c>
      <c r="H186" t="s">
        <v>52</v>
      </c>
      <c r="I186" t="s">
        <v>65</v>
      </c>
      <c r="J186" t="s">
        <v>58</v>
      </c>
      <c r="K186" t="s">
        <v>64</v>
      </c>
      <c r="L186" t="s">
        <v>55</v>
      </c>
    </row>
    <row r="187" spans="1:12" ht="15" customHeight="1" x14ac:dyDescent="0.3">
      <c r="A187" s="2">
        <v>186</v>
      </c>
      <c r="B187">
        <v>10</v>
      </c>
      <c r="C187" s="2">
        <f>IF($B187=Config!$B$2,1,0)</f>
        <v>0</v>
      </c>
      <c r="D187" t="s">
        <v>48</v>
      </c>
      <c r="E187" t="s">
        <v>49</v>
      </c>
      <c r="F187" t="s">
        <v>50</v>
      </c>
      <c r="G187" t="s">
        <v>51</v>
      </c>
      <c r="H187" t="s">
        <v>52</v>
      </c>
      <c r="I187" t="s">
        <v>65</v>
      </c>
      <c r="J187" t="s">
        <v>64</v>
      </c>
      <c r="K187" t="s">
        <v>66</v>
      </c>
      <c r="L187" t="s">
        <v>55</v>
      </c>
    </row>
    <row r="188" spans="1:12" ht="15" customHeight="1" x14ac:dyDescent="0.3">
      <c r="A188" s="2">
        <v>187</v>
      </c>
      <c r="B188">
        <v>10</v>
      </c>
      <c r="C188" s="2">
        <f>IF($B188=Config!$B$2,1,0)</f>
        <v>0</v>
      </c>
      <c r="D188" t="s">
        <v>48</v>
      </c>
      <c r="E188" t="s">
        <v>49</v>
      </c>
      <c r="F188" t="s">
        <v>50</v>
      </c>
      <c r="G188" t="s">
        <v>51</v>
      </c>
      <c r="H188" t="s">
        <v>52</v>
      </c>
      <c r="I188" t="s">
        <v>58</v>
      </c>
      <c r="J188" t="s">
        <v>59</v>
      </c>
      <c r="K188" t="s">
        <v>64</v>
      </c>
      <c r="L188" t="s">
        <v>55</v>
      </c>
    </row>
    <row r="189" spans="1:12" ht="15" customHeight="1" x14ac:dyDescent="0.3">
      <c r="A189" s="2">
        <v>188</v>
      </c>
      <c r="B189">
        <v>10</v>
      </c>
      <c r="C189" s="2">
        <f>IF($B189=Config!$B$2,1,0)</f>
        <v>0</v>
      </c>
      <c r="D189" t="s">
        <v>48</v>
      </c>
      <c r="E189" t="s">
        <v>49</v>
      </c>
      <c r="F189" t="s">
        <v>50</v>
      </c>
      <c r="G189" t="s">
        <v>56</v>
      </c>
      <c r="H189" t="s">
        <v>57</v>
      </c>
      <c r="I189" t="s">
        <v>53</v>
      </c>
      <c r="J189" t="s">
        <v>63</v>
      </c>
      <c r="K189" t="s">
        <v>67</v>
      </c>
      <c r="L189" t="s">
        <v>62</v>
      </c>
    </row>
    <row r="190" spans="1:12" ht="15" customHeight="1" x14ac:dyDescent="0.3">
      <c r="A190" s="2">
        <v>189</v>
      </c>
      <c r="B190">
        <v>10</v>
      </c>
      <c r="C190" s="2">
        <f>IF($B190=Config!$B$2,1,0)</f>
        <v>0</v>
      </c>
      <c r="D190" t="s">
        <v>48</v>
      </c>
      <c r="E190" t="s">
        <v>49</v>
      </c>
      <c r="F190" t="s">
        <v>50</v>
      </c>
      <c r="G190" t="s">
        <v>51</v>
      </c>
      <c r="H190" t="s">
        <v>52</v>
      </c>
      <c r="I190" t="s">
        <v>63</v>
      </c>
      <c r="J190" t="s">
        <v>54</v>
      </c>
      <c r="K190" t="s">
        <v>64</v>
      </c>
      <c r="L190" t="s">
        <v>55</v>
      </c>
    </row>
    <row r="191" spans="1:12" ht="15" customHeight="1" x14ac:dyDescent="0.3">
      <c r="A191" s="2">
        <v>190</v>
      </c>
      <c r="B191">
        <v>10</v>
      </c>
      <c r="C191" s="2">
        <f>IF($B191=Config!$B$2,1,0)</f>
        <v>0</v>
      </c>
      <c r="D191" t="s">
        <v>48</v>
      </c>
      <c r="E191" t="s">
        <v>49</v>
      </c>
      <c r="F191" t="s">
        <v>50</v>
      </c>
      <c r="G191" t="s">
        <v>51</v>
      </c>
      <c r="H191" t="s">
        <v>52</v>
      </c>
      <c r="I191" t="s">
        <v>65</v>
      </c>
      <c r="J191" t="s">
        <v>53</v>
      </c>
      <c r="K191" t="s">
        <v>60</v>
      </c>
    </row>
    <row r="192" spans="1:12" ht="15" customHeight="1" x14ac:dyDescent="0.3">
      <c r="A192" s="2">
        <v>191</v>
      </c>
      <c r="B192">
        <v>10</v>
      </c>
      <c r="C192" s="2">
        <f>IF($B192=Config!$B$2,1,0)</f>
        <v>0</v>
      </c>
      <c r="D192" t="s">
        <v>48</v>
      </c>
      <c r="E192" t="s">
        <v>49</v>
      </c>
      <c r="F192" t="s">
        <v>50</v>
      </c>
      <c r="G192" t="s">
        <v>51</v>
      </c>
      <c r="H192" t="s">
        <v>52</v>
      </c>
      <c r="I192" t="s">
        <v>53</v>
      </c>
      <c r="J192" t="s">
        <v>63</v>
      </c>
      <c r="K192" t="s">
        <v>55</v>
      </c>
    </row>
    <row r="193" spans="1:12" ht="15" customHeight="1" x14ac:dyDescent="0.3">
      <c r="A193" s="2">
        <v>192</v>
      </c>
      <c r="B193">
        <v>10</v>
      </c>
      <c r="C193" s="2">
        <f>IF($B193=Config!$B$2,1,0)</f>
        <v>0</v>
      </c>
      <c r="D193" t="s">
        <v>48</v>
      </c>
      <c r="E193" t="s">
        <v>49</v>
      </c>
      <c r="F193" t="s">
        <v>50</v>
      </c>
      <c r="G193" t="s">
        <v>51</v>
      </c>
      <c r="H193" t="s">
        <v>52</v>
      </c>
      <c r="I193" t="s">
        <v>65</v>
      </c>
      <c r="J193" t="s">
        <v>67</v>
      </c>
      <c r="K193" t="s">
        <v>64</v>
      </c>
      <c r="L193" t="s">
        <v>55</v>
      </c>
    </row>
    <row r="194" spans="1:12" ht="15" customHeight="1" x14ac:dyDescent="0.3">
      <c r="A194" s="2">
        <v>193</v>
      </c>
      <c r="B194">
        <v>10</v>
      </c>
      <c r="C194" s="2">
        <f>IF($B194=Config!$B$2,1,0)</f>
        <v>0</v>
      </c>
      <c r="D194" t="s">
        <v>48</v>
      </c>
      <c r="E194" t="s">
        <v>49</v>
      </c>
      <c r="F194" t="s">
        <v>50</v>
      </c>
      <c r="G194" t="s">
        <v>51</v>
      </c>
      <c r="H194" t="s">
        <v>52</v>
      </c>
      <c r="I194" t="s">
        <v>58</v>
      </c>
      <c r="J194" t="s">
        <v>63</v>
      </c>
      <c r="K194" t="s">
        <v>64</v>
      </c>
      <c r="L194" t="s">
        <v>55</v>
      </c>
    </row>
    <row r="195" spans="1:12" ht="15" customHeight="1" x14ac:dyDescent="0.3">
      <c r="A195" s="2">
        <v>194</v>
      </c>
      <c r="B195">
        <v>10</v>
      </c>
      <c r="C195" s="2">
        <f>IF($B195=Config!$B$2,1,0)</f>
        <v>0</v>
      </c>
      <c r="D195" t="s">
        <v>48</v>
      </c>
      <c r="E195" t="s">
        <v>49</v>
      </c>
      <c r="F195" t="s">
        <v>50</v>
      </c>
      <c r="G195" t="s">
        <v>51</v>
      </c>
      <c r="H195" t="s">
        <v>52</v>
      </c>
      <c r="I195" t="s">
        <v>53</v>
      </c>
      <c r="J195" t="s">
        <v>63</v>
      </c>
      <c r="K195" t="s">
        <v>67</v>
      </c>
      <c r="L195" t="s">
        <v>62</v>
      </c>
    </row>
    <row r="196" spans="1:12" ht="15" customHeight="1" x14ac:dyDescent="0.3">
      <c r="A196" s="2">
        <v>195</v>
      </c>
      <c r="B196">
        <v>10</v>
      </c>
      <c r="C196" s="2">
        <f>IF($B196=Config!$B$2,1,0)</f>
        <v>0</v>
      </c>
      <c r="D196" t="s">
        <v>48</v>
      </c>
      <c r="E196" t="s">
        <v>49</v>
      </c>
      <c r="F196" t="s">
        <v>50</v>
      </c>
      <c r="G196" t="s">
        <v>51</v>
      </c>
      <c r="H196" t="s">
        <v>52</v>
      </c>
      <c r="I196" t="s">
        <v>58</v>
      </c>
      <c r="J196" t="s">
        <v>63</v>
      </c>
      <c r="K196" t="s">
        <v>64</v>
      </c>
      <c r="L196" t="s">
        <v>55</v>
      </c>
    </row>
    <row r="197" spans="1:12" ht="15" customHeight="1" x14ac:dyDescent="0.3">
      <c r="A197" s="2">
        <v>196</v>
      </c>
      <c r="B197">
        <v>10</v>
      </c>
      <c r="C197" s="2">
        <f>IF($B197=Config!$B$2,1,0)</f>
        <v>0</v>
      </c>
      <c r="D197" t="s">
        <v>48</v>
      </c>
      <c r="E197" t="s">
        <v>49</v>
      </c>
      <c r="F197" t="s">
        <v>50</v>
      </c>
      <c r="G197" t="s">
        <v>51</v>
      </c>
      <c r="H197" t="s">
        <v>52</v>
      </c>
      <c r="I197" t="s">
        <v>65</v>
      </c>
      <c r="J197" t="s">
        <v>58</v>
      </c>
      <c r="K197" t="s">
        <v>64</v>
      </c>
      <c r="L197" t="s">
        <v>55</v>
      </c>
    </row>
    <row r="198" spans="1:12" ht="15" customHeight="1" x14ac:dyDescent="0.3">
      <c r="A198" s="2">
        <v>197</v>
      </c>
      <c r="B198">
        <v>10</v>
      </c>
      <c r="C198" s="2">
        <f>IF($B198=Config!$B$2,1,0)</f>
        <v>0</v>
      </c>
      <c r="D198" t="s">
        <v>48</v>
      </c>
      <c r="E198" t="s">
        <v>49</v>
      </c>
      <c r="F198" t="s">
        <v>50</v>
      </c>
      <c r="G198" t="s">
        <v>51</v>
      </c>
      <c r="H198" t="s">
        <v>57</v>
      </c>
      <c r="I198" t="s">
        <v>53</v>
      </c>
      <c r="J198" t="s">
        <v>63</v>
      </c>
      <c r="K198" t="s">
        <v>55</v>
      </c>
    </row>
    <row r="199" spans="1:12" ht="15" customHeight="1" x14ac:dyDescent="0.3">
      <c r="A199" s="2">
        <v>198</v>
      </c>
      <c r="B199">
        <v>10</v>
      </c>
      <c r="C199" s="2">
        <f>IF($B199=Config!$B$2,1,0)</f>
        <v>0</v>
      </c>
      <c r="D199" t="s">
        <v>48</v>
      </c>
      <c r="E199" t="s">
        <v>49</v>
      </c>
      <c r="F199" t="s">
        <v>50</v>
      </c>
      <c r="G199" t="s">
        <v>51</v>
      </c>
      <c r="H199" t="s">
        <v>52</v>
      </c>
      <c r="I199" t="s">
        <v>65</v>
      </c>
      <c r="J199" t="s">
        <v>60</v>
      </c>
      <c r="K199" t="s">
        <v>64</v>
      </c>
      <c r="L199" t="s">
        <v>55</v>
      </c>
    </row>
    <row r="200" spans="1:12" ht="15" customHeight="1" x14ac:dyDescent="0.3">
      <c r="A200" s="2">
        <v>199</v>
      </c>
      <c r="B200">
        <v>10</v>
      </c>
      <c r="C200" s="2">
        <f>IF($B200=Config!$B$2,1,0)</f>
        <v>0</v>
      </c>
      <c r="D200" t="s">
        <v>48</v>
      </c>
      <c r="E200" t="s">
        <v>49</v>
      </c>
      <c r="F200" t="s">
        <v>50</v>
      </c>
      <c r="G200" t="s">
        <v>51</v>
      </c>
      <c r="H200" t="s">
        <v>52</v>
      </c>
      <c r="I200" t="s">
        <v>65</v>
      </c>
      <c r="J200" t="s">
        <v>63</v>
      </c>
      <c r="K200" t="s">
        <v>64</v>
      </c>
      <c r="L200" t="s">
        <v>55</v>
      </c>
    </row>
    <row r="201" spans="1:12" ht="15" customHeight="1" x14ac:dyDescent="0.3">
      <c r="A201" s="2">
        <v>200</v>
      </c>
      <c r="B201">
        <v>10</v>
      </c>
      <c r="C201" s="2">
        <f>IF($B201=Config!$B$2,1,0)</f>
        <v>0</v>
      </c>
      <c r="D201" t="s">
        <v>48</v>
      </c>
      <c r="E201" t="s">
        <v>49</v>
      </c>
      <c r="F201" t="s">
        <v>50</v>
      </c>
      <c r="G201" t="s">
        <v>51</v>
      </c>
      <c r="H201" t="s">
        <v>52</v>
      </c>
      <c r="I201" t="s">
        <v>65</v>
      </c>
      <c r="J201" t="s">
        <v>53</v>
      </c>
      <c r="K201" t="s">
        <v>64</v>
      </c>
      <c r="L201" t="s">
        <v>55</v>
      </c>
    </row>
    <row r="202" spans="1:12" ht="15" customHeight="1" x14ac:dyDescent="0.3">
      <c r="A202" s="2">
        <v>201</v>
      </c>
      <c r="B202">
        <v>10</v>
      </c>
      <c r="C202" s="2">
        <f>IF($B202=Config!$B$2,1,0)</f>
        <v>0</v>
      </c>
      <c r="D202" t="s">
        <v>48</v>
      </c>
      <c r="E202" t="s">
        <v>49</v>
      </c>
      <c r="F202" t="s">
        <v>50</v>
      </c>
      <c r="G202" t="s">
        <v>56</v>
      </c>
      <c r="H202" t="s">
        <v>57</v>
      </c>
      <c r="I202" t="s">
        <v>53</v>
      </c>
      <c r="J202" t="s">
        <v>64</v>
      </c>
      <c r="K202" t="s">
        <v>62</v>
      </c>
    </row>
    <row r="203" spans="1:12" ht="15" customHeight="1" x14ac:dyDescent="0.3">
      <c r="A203" s="2">
        <v>202</v>
      </c>
      <c r="B203">
        <v>10</v>
      </c>
      <c r="C203" s="2">
        <f>IF($B203=Config!$B$2,1,0)</f>
        <v>0</v>
      </c>
      <c r="D203" t="s">
        <v>48</v>
      </c>
      <c r="E203" t="s">
        <v>49</v>
      </c>
      <c r="F203" t="s">
        <v>50</v>
      </c>
      <c r="G203" t="s">
        <v>51</v>
      </c>
      <c r="H203" t="s">
        <v>52</v>
      </c>
      <c r="I203" t="s">
        <v>60</v>
      </c>
      <c r="J203" t="s">
        <v>63</v>
      </c>
      <c r="K203" t="s">
        <v>64</v>
      </c>
      <c r="L203" t="s">
        <v>55</v>
      </c>
    </row>
    <row r="204" spans="1:12" ht="15" customHeight="1" x14ac:dyDescent="0.3">
      <c r="A204" s="2">
        <v>203</v>
      </c>
      <c r="B204">
        <v>10</v>
      </c>
      <c r="C204" s="2">
        <f>IF($B204=Config!$B$2,1,0)</f>
        <v>0</v>
      </c>
      <c r="D204" t="s">
        <v>48</v>
      </c>
      <c r="E204" t="s">
        <v>49</v>
      </c>
      <c r="F204" t="s">
        <v>50</v>
      </c>
      <c r="G204" t="s">
        <v>56</v>
      </c>
      <c r="H204" t="s">
        <v>52</v>
      </c>
      <c r="I204" t="s">
        <v>58</v>
      </c>
      <c r="J204" t="s">
        <v>63</v>
      </c>
      <c r="K204" t="s">
        <v>61</v>
      </c>
    </row>
    <row r="205" spans="1:12" ht="15" customHeight="1" x14ac:dyDescent="0.3">
      <c r="A205" s="2">
        <v>204</v>
      </c>
      <c r="B205">
        <v>10</v>
      </c>
      <c r="C205" s="2">
        <f>IF($B205=Config!$B$2,1,0)</f>
        <v>0</v>
      </c>
      <c r="D205" t="s">
        <v>48</v>
      </c>
      <c r="E205" t="s">
        <v>49</v>
      </c>
      <c r="F205" t="s">
        <v>50</v>
      </c>
      <c r="G205" t="s">
        <v>56</v>
      </c>
      <c r="H205" t="s">
        <v>52</v>
      </c>
      <c r="I205" t="s">
        <v>58</v>
      </c>
      <c r="J205" t="s">
        <v>53</v>
      </c>
      <c r="K205" t="s">
        <v>62</v>
      </c>
    </row>
    <row r="206" spans="1:12" ht="15" customHeight="1" x14ac:dyDescent="0.3">
      <c r="A206" s="2">
        <v>205</v>
      </c>
      <c r="B206">
        <v>10</v>
      </c>
      <c r="C206" s="2">
        <f>IF($B206=Config!$B$2,1,0)</f>
        <v>0</v>
      </c>
      <c r="D206" t="s">
        <v>48</v>
      </c>
      <c r="E206" t="s">
        <v>49</v>
      </c>
      <c r="F206" t="s">
        <v>50</v>
      </c>
      <c r="G206" t="s">
        <v>51</v>
      </c>
      <c r="H206" t="s">
        <v>52</v>
      </c>
      <c r="I206" t="s">
        <v>63</v>
      </c>
      <c r="J206" t="s">
        <v>54</v>
      </c>
      <c r="K206" t="s">
        <v>55</v>
      </c>
    </row>
    <row r="207" spans="1:12" ht="15" customHeight="1" x14ac:dyDescent="0.3">
      <c r="A207" s="2">
        <v>206</v>
      </c>
      <c r="B207">
        <v>10</v>
      </c>
      <c r="C207" s="2">
        <f>IF($B207=Config!$B$2,1,0)</f>
        <v>0</v>
      </c>
      <c r="D207" t="s">
        <v>48</v>
      </c>
      <c r="E207" t="s">
        <v>49</v>
      </c>
      <c r="F207" t="s">
        <v>50</v>
      </c>
      <c r="G207" t="s">
        <v>51</v>
      </c>
      <c r="H207" t="s">
        <v>52</v>
      </c>
      <c r="I207" t="s">
        <v>65</v>
      </c>
      <c r="J207" t="s">
        <v>58</v>
      </c>
      <c r="K207" t="s">
        <v>59</v>
      </c>
      <c r="L207" t="s">
        <v>55</v>
      </c>
    </row>
    <row r="208" spans="1:12" ht="15" customHeight="1" x14ac:dyDescent="0.3">
      <c r="A208" s="2">
        <v>207</v>
      </c>
      <c r="B208">
        <v>10</v>
      </c>
      <c r="C208" s="2">
        <f>IF($B208=Config!$B$2,1,0)</f>
        <v>0</v>
      </c>
      <c r="D208" t="s">
        <v>48</v>
      </c>
      <c r="E208" t="s">
        <v>49</v>
      </c>
      <c r="F208" t="s">
        <v>50</v>
      </c>
      <c r="G208" t="s">
        <v>51</v>
      </c>
      <c r="H208" t="s">
        <v>52</v>
      </c>
      <c r="I208" t="s">
        <v>58</v>
      </c>
      <c r="J208" t="s">
        <v>64</v>
      </c>
      <c r="K208" t="s">
        <v>66</v>
      </c>
      <c r="L208" t="s">
        <v>55</v>
      </c>
    </row>
    <row r="209" spans="1:12" ht="15" customHeight="1" x14ac:dyDescent="0.3">
      <c r="A209" s="2">
        <v>208</v>
      </c>
      <c r="B209">
        <v>10</v>
      </c>
      <c r="C209" s="2">
        <f>IF($B209=Config!$B$2,1,0)</f>
        <v>0</v>
      </c>
      <c r="D209" t="s">
        <v>48</v>
      </c>
      <c r="E209" t="s">
        <v>49</v>
      </c>
      <c r="F209" t="s">
        <v>50</v>
      </c>
      <c r="G209" t="s">
        <v>51</v>
      </c>
      <c r="H209" t="s">
        <v>52</v>
      </c>
      <c r="I209" t="s">
        <v>65</v>
      </c>
      <c r="J209" t="s">
        <v>58</v>
      </c>
      <c r="K209" t="s">
        <v>64</v>
      </c>
      <c r="L209" t="s">
        <v>55</v>
      </c>
    </row>
    <row r="210" spans="1:12" ht="15" customHeight="1" x14ac:dyDescent="0.3">
      <c r="A210" s="2">
        <v>209</v>
      </c>
      <c r="B210">
        <v>10</v>
      </c>
      <c r="C210" s="2">
        <f>IF($B210=Config!$B$2,1,0)</f>
        <v>0</v>
      </c>
      <c r="D210" t="s">
        <v>48</v>
      </c>
      <c r="E210" t="s">
        <v>49</v>
      </c>
      <c r="F210" t="s">
        <v>50</v>
      </c>
      <c r="G210" t="s">
        <v>51</v>
      </c>
      <c r="H210" t="s">
        <v>52</v>
      </c>
      <c r="I210" t="s">
        <v>63</v>
      </c>
      <c r="J210" t="s">
        <v>64</v>
      </c>
      <c r="K210" t="s">
        <v>55</v>
      </c>
    </row>
    <row r="211" spans="1:12" ht="15" customHeight="1" x14ac:dyDescent="0.3">
      <c r="A211" s="2">
        <v>210</v>
      </c>
      <c r="B211">
        <v>10</v>
      </c>
      <c r="C211" s="2">
        <f>IF($B211=Config!$B$2,1,0)</f>
        <v>0</v>
      </c>
      <c r="D211" t="s">
        <v>48</v>
      </c>
      <c r="E211" t="s">
        <v>49</v>
      </c>
      <c r="F211" t="s">
        <v>50</v>
      </c>
      <c r="G211" t="s">
        <v>51</v>
      </c>
      <c r="H211" t="s">
        <v>52</v>
      </c>
      <c r="I211" t="s">
        <v>65</v>
      </c>
      <c r="J211" t="s">
        <v>58</v>
      </c>
      <c r="K211" t="s">
        <v>63</v>
      </c>
    </row>
    <row r="212" spans="1:12" ht="15" customHeight="1" x14ac:dyDescent="0.3">
      <c r="A212" s="2">
        <v>211</v>
      </c>
      <c r="B212">
        <v>10</v>
      </c>
      <c r="C212" s="2">
        <f>IF($B212=Config!$B$2,1,0)</f>
        <v>0</v>
      </c>
      <c r="D212" t="s">
        <v>48</v>
      </c>
      <c r="E212" t="s">
        <v>49</v>
      </c>
      <c r="F212" t="s">
        <v>50</v>
      </c>
      <c r="G212" t="s">
        <v>51</v>
      </c>
      <c r="H212" t="s">
        <v>52</v>
      </c>
      <c r="I212" t="s">
        <v>65</v>
      </c>
      <c r="J212" t="s">
        <v>58</v>
      </c>
      <c r="K212" t="s">
        <v>64</v>
      </c>
      <c r="L212" t="s">
        <v>55</v>
      </c>
    </row>
    <row r="213" spans="1:12" ht="15" customHeight="1" x14ac:dyDescent="0.3">
      <c r="A213" s="2">
        <v>212</v>
      </c>
      <c r="B213">
        <v>10</v>
      </c>
      <c r="C213" s="2">
        <f>IF($B213=Config!$B$2,1,0)</f>
        <v>0</v>
      </c>
      <c r="D213" t="s">
        <v>48</v>
      </c>
      <c r="E213" t="s">
        <v>49</v>
      </c>
      <c r="F213" t="s">
        <v>50</v>
      </c>
      <c r="G213" t="s">
        <v>51</v>
      </c>
      <c r="H213" t="s">
        <v>52</v>
      </c>
      <c r="I213" t="s">
        <v>65</v>
      </c>
      <c r="J213" t="s">
        <v>53</v>
      </c>
      <c r="K213" t="s">
        <v>63</v>
      </c>
      <c r="L213" t="s">
        <v>55</v>
      </c>
    </row>
    <row r="214" spans="1:12" ht="15" customHeight="1" x14ac:dyDescent="0.3">
      <c r="A214" s="2">
        <v>213</v>
      </c>
      <c r="B214">
        <v>10</v>
      </c>
      <c r="C214" s="2">
        <f>IF($B214=Config!$B$2,1,0)</f>
        <v>0</v>
      </c>
      <c r="D214" t="s">
        <v>48</v>
      </c>
      <c r="E214" t="s">
        <v>49</v>
      </c>
      <c r="F214" t="s">
        <v>50</v>
      </c>
      <c r="G214" t="s">
        <v>56</v>
      </c>
      <c r="H214" t="s">
        <v>57</v>
      </c>
      <c r="I214" t="s">
        <v>58</v>
      </c>
      <c r="J214" t="s">
        <v>61</v>
      </c>
      <c r="K214" t="s">
        <v>64</v>
      </c>
    </row>
    <row r="215" spans="1:12" ht="15" customHeight="1" x14ac:dyDescent="0.3">
      <c r="A215" s="2">
        <v>214</v>
      </c>
      <c r="B215">
        <v>10</v>
      </c>
      <c r="C215" s="2">
        <f>IF($B215=Config!$B$2,1,0)</f>
        <v>0</v>
      </c>
      <c r="D215" t="s">
        <v>48</v>
      </c>
      <c r="E215" t="s">
        <v>49</v>
      </c>
      <c r="F215" t="s">
        <v>50</v>
      </c>
      <c r="G215" t="s">
        <v>51</v>
      </c>
      <c r="H215" t="s">
        <v>57</v>
      </c>
      <c r="I215" t="s">
        <v>53</v>
      </c>
      <c r="J215" t="s">
        <v>63</v>
      </c>
      <c r="K215" t="s">
        <v>54</v>
      </c>
      <c r="L215" t="s">
        <v>55</v>
      </c>
    </row>
    <row r="216" spans="1:12" ht="15" customHeight="1" x14ac:dyDescent="0.3">
      <c r="A216" s="2">
        <v>215</v>
      </c>
      <c r="B216">
        <v>10</v>
      </c>
      <c r="C216" s="2">
        <f>IF($B216=Config!$B$2,1,0)</f>
        <v>0</v>
      </c>
      <c r="D216" t="s">
        <v>48</v>
      </c>
      <c r="E216" t="s">
        <v>49</v>
      </c>
      <c r="F216" t="s">
        <v>50</v>
      </c>
      <c r="G216" t="s">
        <v>51</v>
      </c>
      <c r="H216" t="s">
        <v>57</v>
      </c>
      <c r="I216" t="s">
        <v>53</v>
      </c>
      <c r="J216" t="s">
        <v>63</v>
      </c>
      <c r="K216" t="s">
        <v>54</v>
      </c>
      <c r="L216" t="s">
        <v>55</v>
      </c>
    </row>
    <row r="217" spans="1:12" ht="15" customHeight="1" x14ac:dyDescent="0.3">
      <c r="A217" s="2">
        <v>216</v>
      </c>
      <c r="B217">
        <v>10</v>
      </c>
      <c r="C217" s="2">
        <f>IF($B217=Config!$B$2,1,0)</f>
        <v>0</v>
      </c>
      <c r="D217" t="s">
        <v>48</v>
      </c>
      <c r="E217" t="s">
        <v>49</v>
      </c>
      <c r="F217" t="s">
        <v>50</v>
      </c>
      <c r="G217" t="s">
        <v>51</v>
      </c>
      <c r="H217" t="s">
        <v>52</v>
      </c>
      <c r="I217" t="s">
        <v>65</v>
      </c>
      <c r="J217" t="s">
        <v>54</v>
      </c>
      <c r="K217" t="s">
        <v>55</v>
      </c>
    </row>
    <row r="218" spans="1:12" ht="15" customHeight="1" x14ac:dyDescent="0.3">
      <c r="A218" s="2">
        <v>217</v>
      </c>
      <c r="B218">
        <v>10</v>
      </c>
      <c r="C218" s="2">
        <f>IF($B218=Config!$B$2,1,0)</f>
        <v>0</v>
      </c>
      <c r="D218" t="s">
        <v>48</v>
      </c>
      <c r="E218" t="s">
        <v>49</v>
      </c>
      <c r="F218" t="s">
        <v>50</v>
      </c>
      <c r="G218" t="s">
        <v>51</v>
      </c>
      <c r="H218" t="s">
        <v>52</v>
      </c>
      <c r="I218" t="s">
        <v>53</v>
      </c>
      <c r="J218" t="s">
        <v>63</v>
      </c>
      <c r="K218" t="s">
        <v>54</v>
      </c>
      <c r="L218" t="s">
        <v>55</v>
      </c>
    </row>
    <row r="219" spans="1:12" ht="15" customHeight="1" x14ac:dyDescent="0.3">
      <c r="A219" s="2">
        <v>218</v>
      </c>
      <c r="B219">
        <v>10</v>
      </c>
      <c r="C219" s="2">
        <f>IF($B219=Config!$B$2,1,0)</f>
        <v>0</v>
      </c>
      <c r="D219" t="s">
        <v>48</v>
      </c>
      <c r="E219" t="s">
        <v>49</v>
      </c>
      <c r="F219" t="s">
        <v>50</v>
      </c>
      <c r="G219" t="s">
        <v>51</v>
      </c>
      <c r="H219" t="s">
        <v>52</v>
      </c>
      <c r="I219" t="s">
        <v>65</v>
      </c>
      <c r="J219" t="s">
        <v>53</v>
      </c>
      <c r="K219" t="s">
        <v>64</v>
      </c>
      <c r="L219" t="s">
        <v>55</v>
      </c>
    </row>
    <row r="220" spans="1:12" ht="15" customHeight="1" x14ac:dyDescent="0.3">
      <c r="A220" s="2">
        <v>219</v>
      </c>
      <c r="B220">
        <v>10</v>
      </c>
      <c r="C220" s="2">
        <f>IF($B220=Config!$B$2,1,0)</f>
        <v>0</v>
      </c>
      <c r="D220" t="s">
        <v>48</v>
      </c>
      <c r="E220" t="s">
        <v>49</v>
      </c>
      <c r="F220" t="s">
        <v>50</v>
      </c>
      <c r="G220" t="s">
        <v>56</v>
      </c>
      <c r="H220" t="s">
        <v>52</v>
      </c>
      <c r="I220" t="s">
        <v>58</v>
      </c>
      <c r="J220" t="s">
        <v>53</v>
      </c>
      <c r="K220" t="s">
        <v>59</v>
      </c>
      <c r="L220" t="s">
        <v>64</v>
      </c>
    </row>
    <row r="221" spans="1:12" ht="15" customHeight="1" x14ac:dyDescent="0.3">
      <c r="A221" s="2">
        <v>220</v>
      </c>
      <c r="B221">
        <v>10</v>
      </c>
      <c r="C221" s="2">
        <f>IF($B221=Config!$B$2,1,0)</f>
        <v>0</v>
      </c>
      <c r="D221" t="s">
        <v>48</v>
      </c>
      <c r="E221" t="s">
        <v>49</v>
      </c>
      <c r="F221" t="s">
        <v>50</v>
      </c>
      <c r="G221" t="s">
        <v>56</v>
      </c>
      <c r="H221" t="s">
        <v>57</v>
      </c>
      <c r="I221" t="s">
        <v>58</v>
      </c>
      <c r="J221" t="s">
        <v>53</v>
      </c>
      <c r="K221" t="s">
        <v>67</v>
      </c>
    </row>
    <row r="222" spans="1:12" ht="15" customHeight="1" x14ac:dyDescent="0.3">
      <c r="A222" s="2">
        <v>221</v>
      </c>
      <c r="B222">
        <v>10</v>
      </c>
      <c r="C222" s="2">
        <f>IF($B222=Config!$B$2,1,0)</f>
        <v>0</v>
      </c>
      <c r="D222" t="s">
        <v>48</v>
      </c>
      <c r="E222" t="s">
        <v>49</v>
      </c>
      <c r="F222" t="s">
        <v>50</v>
      </c>
      <c r="G222" t="s">
        <v>56</v>
      </c>
      <c r="H222" t="s">
        <v>57</v>
      </c>
      <c r="I222" t="s">
        <v>58</v>
      </c>
      <c r="J222" t="s">
        <v>67</v>
      </c>
      <c r="K222" t="s">
        <v>61</v>
      </c>
      <c r="L222" t="s">
        <v>64</v>
      </c>
    </row>
    <row r="223" spans="1:12" ht="15" customHeight="1" x14ac:dyDescent="0.3">
      <c r="A223" s="2">
        <v>222</v>
      </c>
      <c r="B223">
        <v>10</v>
      </c>
      <c r="C223" s="2">
        <f>IF($B223=Config!$B$2,1,0)</f>
        <v>0</v>
      </c>
      <c r="D223" t="s">
        <v>48</v>
      </c>
      <c r="E223" t="s">
        <v>49</v>
      </c>
      <c r="F223" t="s">
        <v>50</v>
      </c>
      <c r="G223" t="s">
        <v>51</v>
      </c>
      <c r="H223" t="s">
        <v>57</v>
      </c>
      <c r="I223" t="s">
        <v>58</v>
      </c>
      <c r="J223" t="s">
        <v>60</v>
      </c>
      <c r="K223" t="s">
        <v>64</v>
      </c>
      <c r="L223" t="s">
        <v>55</v>
      </c>
    </row>
    <row r="224" spans="1:12" ht="15" customHeight="1" x14ac:dyDescent="0.3">
      <c r="A224" s="2">
        <v>223</v>
      </c>
      <c r="B224">
        <v>10</v>
      </c>
      <c r="C224" s="2">
        <f>IF($B224=Config!$B$2,1,0)</f>
        <v>0</v>
      </c>
      <c r="D224" t="s">
        <v>48</v>
      </c>
      <c r="E224" t="s">
        <v>49</v>
      </c>
      <c r="F224" t="s">
        <v>50</v>
      </c>
      <c r="G224" t="s">
        <v>51</v>
      </c>
      <c r="H224" t="s">
        <v>52</v>
      </c>
      <c r="I224" t="s">
        <v>53</v>
      </c>
      <c r="J224" t="s">
        <v>63</v>
      </c>
      <c r="K224" t="s">
        <v>67</v>
      </c>
      <c r="L224" t="s">
        <v>55</v>
      </c>
    </row>
    <row r="225" spans="1:12" ht="15" customHeight="1" x14ac:dyDescent="0.3">
      <c r="A225" s="2">
        <v>224</v>
      </c>
      <c r="B225">
        <v>10</v>
      </c>
      <c r="C225" s="2">
        <f>IF($B225=Config!$B$2,1,0)</f>
        <v>0</v>
      </c>
      <c r="D225" t="s">
        <v>48</v>
      </c>
      <c r="E225" t="s">
        <v>49</v>
      </c>
      <c r="F225" t="s">
        <v>50</v>
      </c>
      <c r="G225" t="s">
        <v>51</v>
      </c>
      <c r="H225" t="s">
        <v>52</v>
      </c>
      <c r="I225" t="s">
        <v>63</v>
      </c>
      <c r="J225" t="s">
        <v>54</v>
      </c>
      <c r="K225" t="s">
        <v>64</v>
      </c>
      <c r="L225" t="s">
        <v>55</v>
      </c>
    </row>
    <row r="226" spans="1:12" ht="15" customHeight="1" x14ac:dyDescent="0.3">
      <c r="A226" s="2">
        <v>225</v>
      </c>
      <c r="B226">
        <v>10</v>
      </c>
      <c r="C226" s="2">
        <f>IF($B226=Config!$B$2,1,0)</f>
        <v>0</v>
      </c>
      <c r="D226" t="s">
        <v>48</v>
      </c>
      <c r="E226" t="s">
        <v>49</v>
      </c>
      <c r="F226" t="s">
        <v>50</v>
      </c>
      <c r="G226" t="s">
        <v>51</v>
      </c>
      <c r="H226" t="s">
        <v>52</v>
      </c>
      <c r="I226" t="s">
        <v>63</v>
      </c>
      <c r="J226" t="s">
        <v>67</v>
      </c>
      <c r="K226" t="s">
        <v>64</v>
      </c>
      <c r="L226" t="s">
        <v>55</v>
      </c>
    </row>
    <row r="227" spans="1:12" ht="15" customHeight="1" x14ac:dyDescent="0.3">
      <c r="A227" s="2">
        <v>226</v>
      </c>
      <c r="B227">
        <v>10</v>
      </c>
      <c r="C227" s="2">
        <f>IF($B227=Config!$B$2,1,0)</f>
        <v>0</v>
      </c>
      <c r="D227" t="s">
        <v>48</v>
      </c>
      <c r="E227" t="s">
        <v>49</v>
      </c>
      <c r="F227" t="s">
        <v>50</v>
      </c>
      <c r="G227" t="s">
        <v>51</v>
      </c>
      <c r="H227" t="s">
        <v>52</v>
      </c>
      <c r="I227" t="s">
        <v>58</v>
      </c>
      <c r="J227" t="s">
        <v>63</v>
      </c>
      <c r="K227" t="s">
        <v>67</v>
      </c>
      <c r="L227" t="s">
        <v>55</v>
      </c>
    </row>
    <row r="228" spans="1:12" ht="15" customHeight="1" x14ac:dyDescent="0.3">
      <c r="A228" s="2">
        <v>227</v>
      </c>
      <c r="B228">
        <v>10</v>
      </c>
      <c r="C228" s="2">
        <f>IF($B228=Config!$B$2,1,0)</f>
        <v>0</v>
      </c>
      <c r="D228" t="s">
        <v>48</v>
      </c>
      <c r="E228" t="s">
        <v>49</v>
      </c>
      <c r="F228" t="s">
        <v>50</v>
      </c>
      <c r="G228" t="s">
        <v>51</v>
      </c>
      <c r="H228" t="s">
        <v>52</v>
      </c>
      <c r="I228" t="s">
        <v>65</v>
      </c>
      <c r="J228" t="s">
        <v>58</v>
      </c>
      <c r="K228" t="s">
        <v>63</v>
      </c>
      <c r="L228" t="s">
        <v>55</v>
      </c>
    </row>
    <row r="229" spans="1:12" ht="15" customHeight="1" x14ac:dyDescent="0.3">
      <c r="A229" s="2">
        <v>228</v>
      </c>
      <c r="B229">
        <v>10</v>
      </c>
      <c r="C229" s="2">
        <f>IF($B229=Config!$B$2,1,0)</f>
        <v>0</v>
      </c>
      <c r="D229" t="s">
        <v>48</v>
      </c>
      <c r="E229" t="s">
        <v>49</v>
      </c>
      <c r="F229" t="s">
        <v>50</v>
      </c>
      <c r="G229" t="s">
        <v>51</v>
      </c>
      <c r="H229" t="s">
        <v>52</v>
      </c>
      <c r="I229" t="s">
        <v>65</v>
      </c>
      <c r="J229" t="s">
        <v>58</v>
      </c>
      <c r="K229" t="s">
        <v>64</v>
      </c>
      <c r="L229" t="s">
        <v>55</v>
      </c>
    </row>
    <row r="230" spans="1:12" ht="15" customHeight="1" x14ac:dyDescent="0.3">
      <c r="A230" s="2">
        <v>229</v>
      </c>
      <c r="B230">
        <v>10</v>
      </c>
      <c r="C230" s="2">
        <f>IF($B230=Config!$B$2,1,0)</f>
        <v>0</v>
      </c>
      <c r="D230" t="s">
        <v>48</v>
      </c>
      <c r="E230" t="s">
        <v>49</v>
      </c>
      <c r="F230" t="s">
        <v>50</v>
      </c>
      <c r="G230" t="s">
        <v>51</v>
      </c>
      <c r="H230" t="s">
        <v>52</v>
      </c>
      <c r="I230" t="s">
        <v>65</v>
      </c>
      <c r="J230" t="s">
        <v>53</v>
      </c>
      <c r="K230" t="s">
        <v>63</v>
      </c>
      <c r="L230" t="s">
        <v>55</v>
      </c>
    </row>
    <row r="231" spans="1:12" ht="15" customHeight="1" x14ac:dyDescent="0.3">
      <c r="A231" s="2">
        <v>230</v>
      </c>
      <c r="B231">
        <v>10</v>
      </c>
      <c r="C231" s="2">
        <f>IF($B231=Config!$B$2,1,0)</f>
        <v>0</v>
      </c>
      <c r="D231" t="s">
        <v>48</v>
      </c>
      <c r="E231" t="s">
        <v>49</v>
      </c>
      <c r="F231" t="s">
        <v>50</v>
      </c>
      <c r="G231" t="s">
        <v>51</v>
      </c>
      <c r="H231" t="s">
        <v>58</v>
      </c>
      <c r="I231" t="s">
        <v>68</v>
      </c>
      <c r="J231" t="s">
        <v>67</v>
      </c>
      <c r="K231" t="s">
        <v>64</v>
      </c>
      <c r="L231" t="s">
        <v>55</v>
      </c>
    </row>
    <row r="232" spans="1:12" ht="15" customHeight="1" x14ac:dyDescent="0.3">
      <c r="A232" s="2">
        <v>231</v>
      </c>
      <c r="B232">
        <v>10</v>
      </c>
      <c r="C232" s="2">
        <f>IF($B232=Config!$B$2,1,0)</f>
        <v>0</v>
      </c>
      <c r="D232" t="s">
        <v>48</v>
      </c>
      <c r="E232" t="s">
        <v>49</v>
      </c>
      <c r="F232" t="s">
        <v>50</v>
      </c>
      <c r="G232" t="s">
        <v>51</v>
      </c>
      <c r="H232" t="s">
        <v>52</v>
      </c>
      <c r="I232" t="s">
        <v>65</v>
      </c>
      <c r="J232" t="s">
        <v>58</v>
      </c>
      <c r="K232" t="s">
        <v>64</v>
      </c>
      <c r="L232" t="s">
        <v>55</v>
      </c>
    </row>
    <row r="233" spans="1:12" ht="15" customHeight="1" x14ac:dyDescent="0.3">
      <c r="A233" s="2">
        <v>232</v>
      </c>
      <c r="B233">
        <v>10</v>
      </c>
      <c r="C233" s="2">
        <f>IF($B233=Config!$B$2,1,0)</f>
        <v>0</v>
      </c>
      <c r="D233" t="s">
        <v>48</v>
      </c>
      <c r="E233" t="s">
        <v>49</v>
      </c>
      <c r="F233" t="s">
        <v>50</v>
      </c>
      <c r="G233" t="s">
        <v>51</v>
      </c>
      <c r="H233" t="s">
        <v>57</v>
      </c>
      <c r="I233" t="s">
        <v>65</v>
      </c>
      <c r="J233" t="s">
        <v>63</v>
      </c>
      <c r="K233" t="s">
        <v>54</v>
      </c>
      <c r="L233" t="s">
        <v>55</v>
      </c>
    </row>
    <row r="234" spans="1:12" ht="15" customHeight="1" x14ac:dyDescent="0.3">
      <c r="A234" s="2">
        <v>233</v>
      </c>
      <c r="B234">
        <v>10</v>
      </c>
      <c r="C234" s="2">
        <f>IF($B234=Config!$B$2,1,0)</f>
        <v>0</v>
      </c>
      <c r="D234" t="s">
        <v>48</v>
      </c>
      <c r="E234" t="s">
        <v>49</v>
      </c>
      <c r="F234" t="s">
        <v>50</v>
      </c>
      <c r="G234" t="s">
        <v>51</v>
      </c>
      <c r="H234" t="s">
        <v>59</v>
      </c>
      <c r="I234" t="s">
        <v>67</v>
      </c>
      <c r="J234" t="s">
        <v>61</v>
      </c>
      <c r="K234" t="s">
        <v>62</v>
      </c>
    </row>
    <row r="235" spans="1:12" ht="15" customHeight="1" x14ac:dyDescent="0.3">
      <c r="A235" s="2">
        <v>234</v>
      </c>
      <c r="B235">
        <v>10</v>
      </c>
      <c r="C235" s="2">
        <f>IF($B235=Config!$B$2,1,0)</f>
        <v>0</v>
      </c>
      <c r="D235" t="s">
        <v>48</v>
      </c>
      <c r="E235" t="s">
        <v>49</v>
      </c>
      <c r="F235" t="s">
        <v>50</v>
      </c>
      <c r="G235" t="s">
        <v>51</v>
      </c>
      <c r="H235" t="s">
        <v>52</v>
      </c>
      <c r="I235" t="s">
        <v>58</v>
      </c>
      <c r="J235" t="s">
        <v>53</v>
      </c>
      <c r="K235" t="s">
        <v>54</v>
      </c>
      <c r="L235" t="s">
        <v>55</v>
      </c>
    </row>
    <row r="236" spans="1:12" ht="15" customHeight="1" x14ac:dyDescent="0.3">
      <c r="A236" s="2">
        <v>235</v>
      </c>
      <c r="B236">
        <v>10</v>
      </c>
      <c r="C236" s="2">
        <f>IF($B236=Config!$B$2,1,0)</f>
        <v>0</v>
      </c>
      <c r="D236" t="s">
        <v>48</v>
      </c>
      <c r="E236" t="s">
        <v>49</v>
      </c>
      <c r="F236" t="s">
        <v>50</v>
      </c>
      <c r="G236" t="s">
        <v>56</v>
      </c>
      <c r="H236" t="s">
        <v>52</v>
      </c>
      <c r="I236" t="s">
        <v>65</v>
      </c>
      <c r="J236" t="s">
        <v>58</v>
      </c>
      <c r="K236" t="s">
        <v>53</v>
      </c>
      <c r="L236" t="s">
        <v>59</v>
      </c>
    </row>
    <row r="237" spans="1:12" ht="15" customHeight="1" x14ac:dyDescent="0.3">
      <c r="A237" s="2">
        <v>236</v>
      </c>
      <c r="B237">
        <v>10</v>
      </c>
      <c r="C237" s="2">
        <f>IF($B237=Config!$B$2,1,0)</f>
        <v>0</v>
      </c>
      <c r="D237" t="s">
        <v>48</v>
      </c>
      <c r="E237" t="s">
        <v>49</v>
      </c>
      <c r="F237" t="s">
        <v>50</v>
      </c>
      <c r="G237" t="s">
        <v>51</v>
      </c>
      <c r="H237" t="s">
        <v>52</v>
      </c>
      <c r="I237" t="s">
        <v>58</v>
      </c>
      <c r="J237" t="s">
        <v>53</v>
      </c>
      <c r="K237" t="s">
        <v>54</v>
      </c>
      <c r="L237" t="s">
        <v>55</v>
      </c>
    </row>
    <row r="238" spans="1:12" ht="15" customHeight="1" x14ac:dyDescent="0.3">
      <c r="A238" s="2">
        <v>237</v>
      </c>
      <c r="B238">
        <v>10</v>
      </c>
      <c r="C238" s="2">
        <f>IF($B238=Config!$B$2,1,0)</f>
        <v>0</v>
      </c>
      <c r="D238" t="s">
        <v>48</v>
      </c>
      <c r="E238" t="s">
        <v>49</v>
      </c>
      <c r="F238" t="s">
        <v>50</v>
      </c>
      <c r="G238" t="s">
        <v>51</v>
      </c>
      <c r="H238" t="s">
        <v>52</v>
      </c>
      <c r="I238" t="s">
        <v>65</v>
      </c>
      <c r="J238" t="s">
        <v>58</v>
      </c>
      <c r="K238" t="s">
        <v>63</v>
      </c>
      <c r="L238" t="s">
        <v>55</v>
      </c>
    </row>
    <row r="239" spans="1:12" ht="15" customHeight="1" x14ac:dyDescent="0.3">
      <c r="A239" s="2">
        <v>238</v>
      </c>
      <c r="B239">
        <v>10</v>
      </c>
      <c r="C239" s="2">
        <f>IF($B239=Config!$B$2,1,0)</f>
        <v>0</v>
      </c>
      <c r="D239" t="s">
        <v>48</v>
      </c>
      <c r="E239" t="s">
        <v>49</v>
      </c>
      <c r="F239" t="s">
        <v>50</v>
      </c>
      <c r="G239" t="s">
        <v>56</v>
      </c>
      <c r="H239" t="s">
        <v>52</v>
      </c>
      <c r="I239" t="s">
        <v>58</v>
      </c>
      <c r="J239" t="s">
        <v>53</v>
      </c>
      <c r="K239" t="s">
        <v>67</v>
      </c>
      <c r="L239" t="s">
        <v>64</v>
      </c>
    </row>
    <row r="240" spans="1:12" ht="15" customHeight="1" x14ac:dyDescent="0.3">
      <c r="A240" s="2">
        <v>239</v>
      </c>
      <c r="B240">
        <v>10</v>
      </c>
      <c r="C240" s="2">
        <f>IF($B240=Config!$B$2,1,0)</f>
        <v>0</v>
      </c>
      <c r="D240" t="s">
        <v>48</v>
      </c>
      <c r="E240" t="s">
        <v>49</v>
      </c>
      <c r="F240" t="s">
        <v>50</v>
      </c>
      <c r="G240" t="s">
        <v>51</v>
      </c>
      <c r="H240" t="s">
        <v>57</v>
      </c>
      <c r="I240" t="s">
        <v>65</v>
      </c>
      <c r="J240" t="s">
        <v>54</v>
      </c>
      <c r="K240" t="s">
        <v>66</v>
      </c>
      <c r="L240" t="s">
        <v>55</v>
      </c>
    </row>
    <row r="241" spans="1:12" ht="15" customHeight="1" x14ac:dyDescent="0.3">
      <c r="A241" s="2">
        <v>240</v>
      </c>
      <c r="B241">
        <v>10</v>
      </c>
      <c r="C241" s="2">
        <f>IF($B241=Config!$B$2,1,0)</f>
        <v>0</v>
      </c>
      <c r="D241" t="s">
        <v>48</v>
      </c>
      <c r="E241" t="s">
        <v>49</v>
      </c>
      <c r="F241" t="s">
        <v>50</v>
      </c>
      <c r="G241" t="s">
        <v>51</v>
      </c>
      <c r="H241" t="s">
        <v>52</v>
      </c>
      <c r="I241" t="s">
        <v>65</v>
      </c>
      <c r="J241" t="s">
        <v>64</v>
      </c>
      <c r="K241" t="s">
        <v>55</v>
      </c>
    </row>
    <row r="242" spans="1:12" ht="15" customHeight="1" x14ac:dyDescent="0.3">
      <c r="A242" s="2">
        <v>241</v>
      </c>
      <c r="B242">
        <v>10</v>
      </c>
      <c r="C242" s="2">
        <f>IF($B242=Config!$B$2,1,0)</f>
        <v>0</v>
      </c>
      <c r="D242" t="s">
        <v>48</v>
      </c>
      <c r="E242" t="s">
        <v>49</v>
      </c>
      <c r="F242" t="s">
        <v>50</v>
      </c>
      <c r="G242" t="s">
        <v>51</v>
      </c>
      <c r="H242" t="s">
        <v>52</v>
      </c>
      <c r="I242" t="s">
        <v>65</v>
      </c>
      <c r="J242" t="s">
        <v>58</v>
      </c>
      <c r="K242" t="s">
        <v>59</v>
      </c>
      <c r="L242" t="s">
        <v>55</v>
      </c>
    </row>
    <row r="243" spans="1:12" ht="15" customHeight="1" x14ac:dyDescent="0.3">
      <c r="A243" s="2">
        <v>242</v>
      </c>
      <c r="B243">
        <v>10</v>
      </c>
      <c r="C243" s="2">
        <f>IF($B243=Config!$B$2,1,0)</f>
        <v>0</v>
      </c>
      <c r="D243" t="s">
        <v>48</v>
      </c>
      <c r="E243" t="s">
        <v>49</v>
      </c>
      <c r="F243" t="s">
        <v>50</v>
      </c>
      <c r="G243" t="s">
        <v>51</v>
      </c>
      <c r="H243" t="s">
        <v>52</v>
      </c>
      <c r="I243" t="s">
        <v>58</v>
      </c>
      <c r="J243" t="s">
        <v>63</v>
      </c>
      <c r="K243" t="s">
        <v>64</v>
      </c>
      <c r="L243" t="s">
        <v>55</v>
      </c>
    </row>
    <row r="244" spans="1:12" ht="15" customHeight="1" x14ac:dyDescent="0.3">
      <c r="A244" s="2">
        <v>243</v>
      </c>
      <c r="B244">
        <v>10</v>
      </c>
      <c r="C244" s="2">
        <f>IF($B244=Config!$B$2,1,0)</f>
        <v>0</v>
      </c>
      <c r="D244" t="s">
        <v>48</v>
      </c>
      <c r="E244" t="s">
        <v>49</v>
      </c>
      <c r="F244" t="s">
        <v>50</v>
      </c>
      <c r="G244" t="s">
        <v>51</v>
      </c>
      <c r="H244" t="s">
        <v>52</v>
      </c>
      <c r="I244" t="s">
        <v>65</v>
      </c>
      <c r="J244" t="s">
        <v>64</v>
      </c>
      <c r="K244" t="s">
        <v>55</v>
      </c>
      <c r="L244" t="s">
        <v>62</v>
      </c>
    </row>
    <row r="245" spans="1:12" ht="15" customHeight="1" x14ac:dyDescent="0.3">
      <c r="A245" s="2">
        <v>244</v>
      </c>
      <c r="B245">
        <v>10</v>
      </c>
      <c r="C245" s="2">
        <f>IF($B245=Config!$B$2,1,0)</f>
        <v>0</v>
      </c>
      <c r="D245" t="s">
        <v>48</v>
      </c>
      <c r="E245" t="s">
        <v>49</v>
      </c>
      <c r="F245" t="s">
        <v>50</v>
      </c>
      <c r="G245" t="s">
        <v>51</v>
      </c>
      <c r="H245" t="s">
        <v>52</v>
      </c>
      <c r="I245" t="s">
        <v>53</v>
      </c>
      <c r="J245" t="s">
        <v>63</v>
      </c>
      <c r="K245" t="s">
        <v>64</v>
      </c>
      <c r="L245" t="s">
        <v>55</v>
      </c>
    </row>
    <row r="246" spans="1:12" ht="15" customHeight="1" x14ac:dyDescent="0.3">
      <c r="A246" s="2">
        <v>245</v>
      </c>
      <c r="B246">
        <v>10</v>
      </c>
      <c r="C246" s="2">
        <f>IF($B246=Config!$B$2,1,0)</f>
        <v>0</v>
      </c>
      <c r="D246" t="s">
        <v>48</v>
      </c>
      <c r="E246" t="s">
        <v>49</v>
      </c>
      <c r="F246" t="s">
        <v>50</v>
      </c>
      <c r="G246" t="s">
        <v>51</v>
      </c>
      <c r="H246" t="s">
        <v>57</v>
      </c>
      <c r="I246" t="s">
        <v>58</v>
      </c>
      <c r="J246" t="s">
        <v>53</v>
      </c>
      <c r="K246" t="s">
        <v>63</v>
      </c>
      <c r="L246" t="s">
        <v>55</v>
      </c>
    </row>
    <row r="247" spans="1:12" ht="15" customHeight="1" x14ac:dyDescent="0.3">
      <c r="A247" s="2">
        <v>246</v>
      </c>
      <c r="B247">
        <v>10</v>
      </c>
      <c r="C247" s="2">
        <f>IF($B247=Config!$B$2,1,0)</f>
        <v>0</v>
      </c>
      <c r="D247" t="s">
        <v>48</v>
      </c>
      <c r="E247" t="s">
        <v>49</v>
      </c>
      <c r="F247" t="s">
        <v>50</v>
      </c>
      <c r="G247" t="s">
        <v>51</v>
      </c>
      <c r="H247" t="s">
        <v>52</v>
      </c>
      <c r="I247" t="s">
        <v>63</v>
      </c>
      <c r="J247" t="s">
        <v>64</v>
      </c>
      <c r="K247" t="s">
        <v>55</v>
      </c>
    </row>
    <row r="248" spans="1:12" ht="15" customHeight="1" x14ac:dyDescent="0.3">
      <c r="A248" s="2">
        <v>247</v>
      </c>
      <c r="B248">
        <v>10</v>
      </c>
      <c r="C248" s="2">
        <f>IF($B248=Config!$B$2,1,0)</f>
        <v>0</v>
      </c>
      <c r="D248" t="s">
        <v>48</v>
      </c>
      <c r="E248" t="s">
        <v>49</v>
      </c>
      <c r="F248" t="s">
        <v>50</v>
      </c>
      <c r="G248" t="s">
        <v>51</v>
      </c>
      <c r="H248" t="s">
        <v>52</v>
      </c>
      <c r="I248" t="s">
        <v>63</v>
      </c>
      <c r="J248" t="s">
        <v>64</v>
      </c>
      <c r="K248" t="s">
        <v>55</v>
      </c>
      <c r="L248" t="s">
        <v>62</v>
      </c>
    </row>
    <row r="249" spans="1:12" ht="15" customHeight="1" x14ac:dyDescent="0.3">
      <c r="A249" s="2">
        <v>248</v>
      </c>
      <c r="B249">
        <v>10</v>
      </c>
      <c r="C249" s="2">
        <f>IF($B249=Config!$B$2,1,0)</f>
        <v>0</v>
      </c>
      <c r="D249" t="s">
        <v>48</v>
      </c>
      <c r="E249" t="s">
        <v>49</v>
      </c>
      <c r="F249" t="s">
        <v>50</v>
      </c>
      <c r="G249" t="s">
        <v>51</v>
      </c>
      <c r="H249" t="s">
        <v>52</v>
      </c>
      <c r="I249" t="s">
        <v>65</v>
      </c>
      <c r="J249" t="s">
        <v>63</v>
      </c>
      <c r="K249" t="s">
        <v>54</v>
      </c>
      <c r="L249" t="s">
        <v>55</v>
      </c>
    </row>
    <row r="250" spans="1:12" ht="15" customHeight="1" x14ac:dyDescent="0.3">
      <c r="A250" s="2">
        <v>249</v>
      </c>
      <c r="B250">
        <v>10</v>
      </c>
      <c r="C250" s="2">
        <f>IF($B250=Config!$B$2,1,0)</f>
        <v>0</v>
      </c>
      <c r="D250" t="s">
        <v>48</v>
      </c>
      <c r="E250" t="s">
        <v>49</v>
      </c>
      <c r="F250" t="s">
        <v>50</v>
      </c>
      <c r="G250" t="s">
        <v>51</v>
      </c>
      <c r="H250" t="s">
        <v>52</v>
      </c>
      <c r="I250" t="s">
        <v>65</v>
      </c>
      <c r="J250" t="s">
        <v>53</v>
      </c>
      <c r="K250" t="s">
        <v>63</v>
      </c>
      <c r="L250" t="s">
        <v>55</v>
      </c>
    </row>
    <row r="251" spans="1:12" ht="15" customHeight="1" x14ac:dyDescent="0.3">
      <c r="A251" s="2">
        <v>250</v>
      </c>
      <c r="B251">
        <v>10</v>
      </c>
      <c r="C251" s="2">
        <f>IF($B251=Config!$B$2,1,0)</f>
        <v>0</v>
      </c>
      <c r="D251" t="s">
        <v>48</v>
      </c>
      <c r="E251" t="s">
        <v>49</v>
      </c>
      <c r="F251" t="s">
        <v>50</v>
      </c>
      <c r="G251" t="s">
        <v>51</v>
      </c>
      <c r="H251" t="s">
        <v>52</v>
      </c>
      <c r="I251" t="s">
        <v>65</v>
      </c>
      <c r="J251" t="s">
        <v>54</v>
      </c>
      <c r="K251" t="s">
        <v>55</v>
      </c>
    </row>
    <row r="252" spans="1:12" ht="15" customHeight="1" x14ac:dyDescent="0.3">
      <c r="A252" s="2">
        <v>251</v>
      </c>
      <c r="B252">
        <v>10</v>
      </c>
      <c r="C252" s="2">
        <f>IF($B252=Config!$B$2,1,0)</f>
        <v>0</v>
      </c>
      <c r="D252" t="s">
        <v>48</v>
      </c>
      <c r="E252" t="s">
        <v>49</v>
      </c>
      <c r="F252" t="s">
        <v>50</v>
      </c>
      <c r="G252" t="s">
        <v>51</v>
      </c>
      <c r="H252" t="s">
        <v>52</v>
      </c>
      <c r="I252" t="s">
        <v>65</v>
      </c>
      <c r="J252" t="s">
        <v>58</v>
      </c>
      <c r="K252" t="s">
        <v>64</v>
      </c>
      <c r="L252" t="s">
        <v>55</v>
      </c>
    </row>
    <row r="253" spans="1:12" ht="15" customHeight="1" x14ac:dyDescent="0.3">
      <c r="A253" s="2">
        <v>252</v>
      </c>
      <c r="B253">
        <v>10</v>
      </c>
      <c r="C253" s="2">
        <f>IF($B253=Config!$B$2,1,0)</f>
        <v>0</v>
      </c>
      <c r="D253" t="s">
        <v>48</v>
      </c>
      <c r="E253" t="s">
        <v>49</v>
      </c>
      <c r="F253" t="s">
        <v>50</v>
      </c>
      <c r="G253" t="s">
        <v>51</v>
      </c>
      <c r="H253" t="s">
        <v>52</v>
      </c>
      <c r="I253" t="s">
        <v>58</v>
      </c>
      <c r="J253" t="s">
        <v>53</v>
      </c>
      <c r="K253" t="s">
        <v>63</v>
      </c>
      <c r="L253" t="s">
        <v>55</v>
      </c>
    </row>
    <row r="254" spans="1:12" ht="15" customHeight="1" x14ac:dyDescent="0.3">
      <c r="A254" s="2">
        <v>253</v>
      </c>
      <c r="B254">
        <v>10</v>
      </c>
      <c r="C254" s="2">
        <f>IF($B254=Config!$B$2,1,0)</f>
        <v>0</v>
      </c>
      <c r="D254" t="s">
        <v>48</v>
      </c>
      <c r="E254" t="s">
        <v>49</v>
      </c>
      <c r="F254" t="s">
        <v>50</v>
      </c>
      <c r="G254" t="s">
        <v>51</v>
      </c>
      <c r="H254" t="s">
        <v>52</v>
      </c>
      <c r="I254" t="s">
        <v>65</v>
      </c>
      <c r="J254" t="s">
        <v>59</v>
      </c>
      <c r="K254" t="s">
        <v>64</v>
      </c>
      <c r="L254" t="s">
        <v>55</v>
      </c>
    </row>
    <row r="255" spans="1:12" ht="15" customHeight="1" x14ac:dyDescent="0.3">
      <c r="A255" s="2">
        <v>254</v>
      </c>
      <c r="B255">
        <v>10</v>
      </c>
      <c r="C255" s="2">
        <f>IF($B255=Config!$B$2,1,0)</f>
        <v>0</v>
      </c>
      <c r="D255" t="s">
        <v>48</v>
      </c>
      <c r="E255" t="s">
        <v>49</v>
      </c>
      <c r="F255" t="s">
        <v>50</v>
      </c>
      <c r="G255" t="s">
        <v>51</v>
      </c>
      <c r="H255" t="s">
        <v>52</v>
      </c>
      <c r="I255" t="s">
        <v>58</v>
      </c>
      <c r="J255" t="s">
        <v>59</v>
      </c>
      <c r="K255" t="s">
        <v>64</v>
      </c>
      <c r="L255" t="s">
        <v>55</v>
      </c>
    </row>
    <row r="256" spans="1:12" ht="15" customHeight="1" x14ac:dyDescent="0.3">
      <c r="A256" s="2">
        <v>255</v>
      </c>
      <c r="B256">
        <v>10</v>
      </c>
      <c r="C256" s="2">
        <f>IF($B256=Config!$B$2,1,0)</f>
        <v>0</v>
      </c>
      <c r="D256" t="s">
        <v>48</v>
      </c>
      <c r="E256" t="s">
        <v>49</v>
      </c>
      <c r="F256" t="s">
        <v>50</v>
      </c>
      <c r="G256" t="s">
        <v>51</v>
      </c>
      <c r="H256" t="s">
        <v>52</v>
      </c>
      <c r="I256" t="s">
        <v>58</v>
      </c>
      <c r="J256" t="s">
        <v>53</v>
      </c>
      <c r="K256" t="s">
        <v>63</v>
      </c>
      <c r="L256" t="s">
        <v>54</v>
      </c>
    </row>
    <row r="257" spans="1:12" ht="15" customHeight="1" x14ac:dyDescent="0.3">
      <c r="A257" s="2">
        <v>256</v>
      </c>
      <c r="B257">
        <v>10</v>
      </c>
      <c r="C257" s="2">
        <f>IF($B257=Config!$B$2,1,0)</f>
        <v>0</v>
      </c>
      <c r="D257" t="s">
        <v>48</v>
      </c>
      <c r="E257" t="s">
        <v>49</v>
      </c>
      <c r="F257" t="s">
        <v>50</v>
      </c>
      <c r="G257" t="s">
        <v>51</v>
      </c>
      <c r="H257" t="s">
        <v>53</v>
      </c>
      <c r="I257" t="s">
        <v>59</v>
      </c>
      <c r="J257" t="s">
        <v>63</v>
      </c>
      <c r="K257" t="s">
        <v>55</v>
      </c>
      <c r="L257" t="s">
        <v>62</v>
      </c>
    </row>
    <row r="258" spans="1:12" ht="15" customHeight="1" x14ac:dyDescent="0.3">
      <c r="A258" s="2">
        <v>257</v>
      </c>
      <c r="B258">
        <v>10</v>
      </c>
      <c r="C258" s="2">
        <f>IF($B258=Config!$B$2,1,0)</f>
        <v>0</v>
      </c>
      <c r="D258" t="s">
        <v>48</v>
      </c>
      <c r="E258" t="s">
        <v>49</v>
      </c>
      <c r="F258" t="s">
        <v>50</v>
      </c>
      <c r="G258" t="s">
        <v>51</v>
      </c>
      <c r="H258" t="s">
        <v>52</v>
      </c>
      <c r="I258" t="s">
        <v>59</v>
      </c>
      <c r="J258" t="s">
        <v>54</v>
      </c>
      <c r="K258" t="s">
        <v>64</v>
      </c>
      <c r="L258" t="s">
        <v>55</v>
      </c>
    </row>
    <row r="259" spans="1:12" ht="15" customHeight="1" x14ac:dyDescent="0.3">
      <c r="A259" s="2">
        <v>258</v>
      </c>
      <c r="B259">
        <v>10</v>
      </c>
      <c r="C259" s="2">
        <f>IF($B259=Config!$B$2,1,0)</f>
        <v>0</v>
      </c>
      <c r="D259" t="s">
        <v>48</v>
      </c>
      <c r="E259" t="s">
        <v>49</v>
      </c>
      <c r="F259" t="s">
        <v>50</v>
      </c>
      <c r="G259" t="s">
        <v>51</v>
      </c>
      <c r="H259" t="s">
        <v>52</v>
      </c>
      <c r="I259" t="s">
        <v>63</v>
      </c>
      <c r="J259" t="s">
        <v>67</v>
      </c>
      <c r="K259" t="s">
        <v>54</v>
      </c>
      <c r="L259" t="s">
        <v>55</v>
      </c>
    </row>
    <row r="260" spans="1:12" ht="15" customHeight="1" x14ac:dyDescent="0.3">
      <c r="A260" s="2">
        <v>259</v>
      </c>
      <c r="B260">
        <v>10</v>
      </c>
      <c r="C260" s="2">
        <f>IF($B260=Config!$B$2,1,0)</f>
        <v>0</v>
      </c>
      <c r="D260" t="s">
        <v>48</v>
      </c>
      <c r="E260" t="s">
        <v>49</v>
      </c>
      <c r="F260" t="s">
        <v>50</v>
      </c>
      <c r="G260" t="s">
        <v>56</v>
      </c>
      <c r="H260" t="s">
        <v>52</v>
      </c>
      <c r="I260" t="s">
        <v>58</v>
      </c>
      <c r="J260" t="s">
        <v>63</v>
      </c>
      <c r="K260" t="s">
        <v>67</v>
      </c>
      <c r="L260" t="s">
        <v>54</v>
      </c>
    </row>
    <row r="261" spans="1:12" ht="15" customHeight="1" x14ac:dyDescent="0.3">
      <c r="A261" s="2">
        <v>260</v>
      </c>
      <c r="B261">
        <v>10</v>
      </c>
      <c r="C261" s="2">
        <f>IF($B261=Config!$B$2,1,0)</f>
        <v>0</v>
      </c>
      <c r="D261" t="s">
        <v>48</v>
      </c>
      <c r="E261" t="s">
        <v>49</v>
      </c>
      <c r="F261" t="s">
        <v>50</v>
      </c>
      <c r="G261" t="s">
        <v>51</v>
      </c>
      <c r="H261" t="s">
        <v>63</v>
      </c>
      <c r="I261" t="s">
        <v>54</v>
      </c>
      <c r="J261" t="s">
        <v>64</v>
      </c>
      <c r="K261" t="s">
        <v>55</v>
      </c>
    </row>
    <row r="262" spans="1:12" ht="15" customHeight="1" x14ac:dyDescent="0.3">
      <c r="A262" s="2">
        <v>261</v>
      </c>
      <c r="B262">
        <v>10</v>
      </c>
      <c r="C262" s="2">
        <f>IF($B262=Config!$B$2,1,0)</f>
        <v>0</v>
      </c>
      <c r="D262" t="s">
        <v>48</v>
      </c>
      <c r="E262" t="s">
        <v>49</v>
      </c>
      <c r="F262" t="s">
        <v>50</v>
      </c>
      <c r="G262" t="s">
        <v>51</v>
      </c>
      <c r="H262" t="s">
        <v>57</v>
      </c>
      <c r="I262" t="s">
        <v>61</v>
      </c>
      <c r="J262" t="s">
        <v>64</v>
      </c>
      <c r="K262" t="s">
        <v>62</v>
      </c>
    </row>
    <row r="263" spans="1:12" ht="15" customHeight="1" x14ac:dyDescent="0.3">
      <c r="A263" s="2">
        <v>262</v>
      </c>
      <c r="B263">
        <v>10</v>
      </c>
      <c r="C263" s="2">
        <f>IF($B263=Config!$B$2,1,0)</f>
        <v>0</v>
      </c>
      <c r="D263" t="s">
        <v>48</v>
      </c>
      <c r="E263" t="s">
        <v>49</v>
      </c>
      <c r="F263" t="s">
        <v>50</v>
      </c>
      <c r="G263" t="s">
        <v>51</v>
      </c>
      <c r="H263" t="s">
        <v>52</v>
      </c>
      <c r="I263" t="s">
        <v>65</v>
      </c>
      <c r="J263" t="s">
        <v>63</v>
      </c>
      <c r="K263" t="s">
        <v>55</v>
      </c>
      <c r="L263" t="s">
        <v>62</v>
      </c>
    </row>
    <row r="264" spans="1:12" ht="15" customHeight="1" x14ac:dyDescent="0.3">
      <c r="A264" s="2">
        <v>263</v>
      </c>
      <c r="B264">
        <v>10</v>
      </c>
      <c r="C264" s="2">
        <f>IF($B264=Config!$B$2,1,0)</f>
        <v>0</v>
      </c>
      <c r="D264" t="s">
        <v>48</v>
      </c>
      <c r="E264" t="s">
        <v>49</v>
      </c>
      <c r="F264" t="s">
        <v>50</v>
      </c>
      <c r="G264" t="s">
        <v>51</v>
      </c>
      <c r="H264" t="s">
        <v>57</v>
      </c>
      <c r="I264" t="s">
        <v>53</v>
      </c>
      <c r="J264" t="s">
        <v>68</v>
      </c>
      <c r="K264" t="s">
        <v>64</v>
      </c>
      <c r="L264" t="s">
        <v>55</v>
      </c>
    </row>
    <row r="265" spans="1:12" ht="15" customHeight="1" x14ac:dyDescent="0.3">
      <c r="A265" s="2">
        <v>264</v>
      </c>
      <c r="B265">
        <v>10</v>
      </c>
      <c r="C265" s="2">
        <f>IF($B265=Config!$B$2,1,0)</f>
        <v>0</v>
      </c>
      <c r="D265" t="s">
        <v>48</v>
      </c>
      <c r="E265" t="s">
        <v>49</v>
      </c>
      <c r="F265" t="s">
        <v>50</v>
      </c>
      <c r="G265" t="s">
        <v>51</v>
      </c>
      <c r="H265" t="s">
        <v>63</v>
      </c>
      <c r="I265" t="s">
        <v>54</v>
      </c>
      <c r="J265" t="s">
        <v>66</v>
      </c>
      <c r="K265" t="s">
        <v>55</v>
      </c>
    </row>
    <row r="266" spans="1:12" ht="15" customHeight="1" x14ac:dyDescent="0.3">
      <c r="A266" s="2"/>
      <c r="C266" s="2"/>
    </row>
    <row r="267" spans="1:12" ht="15" customHeight="1" x14ac:dyDescent="0.3">
      <c r="A267" s="2"/>
      <c r="C267" s="2"/>
    </row>
    <row r="268" spans="1:12" x14ac:dyDescent="0.3">
      <c r="A268" s="2"/>
    </row>
    <row r="269" spans="1:12" x14ac:dyDescent="0.3">
      <c r="A269" s="2"/>
    </row>
    <row r="270" spans="1:12" x14ac:dyDescent="0.3">
      <c r="A270" s="2"/>
    </row>
    <row r="271" spans="1:12" x14ac:dyDescent="0.3">
      <c r="A271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267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2" sqref="B2"/>
    </sheetView>
  </sheetViews>
  <sheetFormatPr defaultColWidth="8.6640625" defaultRowHeight="14.4" x14ac:dyDescent="0.3"/>
  <cols>
    <col min="1" max="1" width="7" customWidth="1"/>
    <col min="2" max="2" width="5" customWidth="1"/>
    <col min="3" max="23" width="5.5546875" customWidth="1"/>
    <col min="24" max="24" width="8" customWidth="1"/>
  </cols>
  <sheetData>
    <row r="1" spans="1:24" ht="15" customHeight="1" x14ac:dyDescent="0.3">
      <c r="A1" s="7" t="s">
        <v>36</v>
      </c>
      <c r="B1" s="7" t="s">
        <v>69</v>
      </c>
      <c r="C1" s="6" t="s">
        <v>48</v>
      </c>
      <c r="D1" s="6" t="s">
        <v>49</v>
      </c>
      <c r="E1" s="6" t="s">
        <v>50</v>
      </c>
      <c r="F1" s="6" t="s">
        <v>51</v>
      </c>
      <c r="G1" s="6" t="s">
        <v>56</v>
      </c>
      <c r="H1" s="6" t="s">
        <v>65</v>
      </c>
      <c r="I1" s="6" t="s">
        <v>52</v>
      </c>
      <c r="J1" s="6" t="s">
        <v>58</v>
      </c>
      <c r="K1" s="6" t="s">
        <v>53</v>
      </c>
      <c r="L1" s="6" t="s">
        <v>59</v>
      </c>
      <c r="M1" s="6" t="s">
        <v>60</v>
      </c>
      <c r="N1" s="6" t="s">
        <v>63</v>
      </c>
      <c r="O1" s="6" t="s">
        <v>68</v>
      </c>
      <c r="P1" s="6" t="s">
        <v>67</v>
      </c>
      <c r="Q1" s="6" t="s">
        <v>61</v>
      </c>
      <c r="R1" s="6" t="s">
        <v>54</v>
      </c>
      <c r="S1" s="6" t="s">
        <v>64</v>
      </c>
      <c r="T1" s="6" t="s">
        <v>66</v>
      </c>
      <c r="U1" s="6" t="s">
        <v>55</v>
      </c>
      <c r="V1" s="6" t="s">
        <v>62</v>
      </c>
      <c r="W1" s="6" t="s">
        <v>57</v>
      </c>
      <c r="X1" s="6" t="s">
        <v>70</v>
      </c>
    </row>
    <row r="2" spans="1:24" ht="15" customHeight="1" x14ac:dyDescent="0.3">
      <c r="A2" s="2">
        <f>Roster!A2</f>
        <v>1</v>
      </c>
      <c r="B2" s="2">
        <f>Roster!C2</f>
        <v>1</v>
      </c>
      <c r="C2" s="2">
        <f>IF(COUNTIF(Roster!$D2:$M2,C$1)&gt;0,$B2,0)</f>
        <v>1</v>
      </c>
      <c r="D2" s="2">
        <f>IF(COUNTIF(Roster!$D2:$M2,D$1)&gt;0,$B2,0)</f>
        <v>1</v>
      </c>
      <c r="E2" s="2">
        <f>IF(COUNTIF(Roster!$D2:$M2,E$1)&gt;0,$B2,0)</f>
        <v>1</v>
      </c>
      <c r="F2" s="2">
        <f>IF(COUNTIF(Roster!$D2:$M2,F$1)&gt;0,$B2,0)</f>
        <v>1</v>
      </c>
      <c r="G2" s="2">
        <f>IF(COUNTIF(Roster!$D2:$M2,G$1)&gt;0,$B2,0)</f>
        <v>0</v>
      </c>
      <c r="H2" s="2">
        <f>IF(COUNTIF(Roster!$D2:$M2,H$1)&gt;0,$B2,0)</f>
        <v>0</v>
      </c>
      <c r="I2" s="2">
        <f>IF(COUNTIF(Roster!$D2:$M2,I$1)&gt;0,$B2,0)</f>
        <v>1</v>
      </c>
      <c r="J2" s="2">
        <f>IF(COUNTIF(Roster!$D2:$M2,J$1)&gt;0,$B2,0)</f>
        <v>0</v>
      </c>
      <c r="K2" s="2">
        <f>IF(COUNTIF(Roster!$D2:$M2,K$1)&gt;0,$B2,0)</f>
        <v>1</v>
      </c>
      <c r="L2" s="2">
        <f>IF(COUNTIF(Roster!$D2:$M2,L$1)&gt;0,$B2,0)</f>
        <v>0</v>
      </c>
      <c r="M2" s="2">
        <f>IF(COUNTIF(Roster!$D2:$M2,M$1)&gt;0,$B2,0)</f>
        <v>0</v>
      </c>
      <c r="N2" s="2">
        <f>IF(COUNTIF(Roster!$D2:$M2,N$1)&gt;0,$B2,0)</f>
        <v>0</v>
      </c>
      <c r="O2" s="2">
        <f>IF(COUNTIF(Roster!$D2:$M2,O$1)&gt;0,$B2,0)</f>
        <v>0</v>
      </c>
      <c r="P2" s="2">
        <f>IF(COUNTIF(Roster!$D2:$M2,P$1)&gt;0,$B2,0)</f>
        <v>0</v>
      </c>
      <c r="Q2" s="2">
        <f>IF(COUNTIF(Roster!$D2:$M2,Q$1)&gt;0,$B2,0)</f>
        <v>0</v>
      </c>
      <c r="R2" s="2">
        <f>IF(COUNTIF(Roster!$D2:$M2,R$1)&gt;0,$B2,0)</f>
        <v>1</v>
      </c>
      <c r="S2" s="2">
        <f>IF(COUNTIF(Roster!$D2:$M2,S$1)&gt;0,$B2,0)</f>
        <v>0</v>
      </c>
      <c r="T2" s="2">
        <f>IF(COUNTIF(Roster!$D2:$M2,T$1)&gt;0,$B2,0)</f>
        <v>0</v>
      </c>
      <c r="U2" s="2">
        <f>IF(COUNTIF(Roster!$D2:$M2,U$1)&gt;0,$B2,0)</f>
        <v>1</v>
      </c>
      <c r="V2" s="2">
        <f>IF(COUNTIF(Roster!$D2:$M2,V$1)&gt;0,$B2,0)</f>
        <v>0</v>
      </c>
      <c r="W2" s="2">
        <f>IF(COUNTIF(Roster!$D2:$M2,W$1)&gt;0,$B2,0)</f>
        <v>0</v>
      </c>
      <c r="X2" s="2">
        <f t="shared" ref="X2:X65" si="0">SUM(H2:W2)</f>
        <v>4</v>
      </c>
    </row>
    <row r="3" spans="1:24" ht="15" customHeight="1" x14ac:dyDescent="0.3">
      <c r="A3" s="2">
        <f>Roster!A3</f>
        <v>2</v>
      </c>
      <c r="B3" s="2">
        <f>Roster!C3</f>
        <v>1</v>
      </c>
      <c r="C3" s="2">
        <f>IF(COUNTIF(Roster!$D3:$M3,C$1)&gt;0,$B3,0)</f>
        <v>1</v>
      </c>
      <c r="D3" s="2">
        <f>IF(COUNTIF(Roster!$D3:$M3,D$1)&gt;0,$B3,0)</f>
        <v>1</v>
      </c>
      <c r="E3" s="2">
        <f>IF(COUNTIF(Roster!$D3:$M3,E$1)&gt;0,$B3,0)</f>
        <v>1</v>
      </c>
      <c r="F3" s="2">
        <f>IF(COUNTIF(Roster!$D3:$M3,F$1)&gt;0,$B3,0)</f>
        <v>0</v>
      </c>
      <c r="G3" s="2">
        <f>IF(COUNTIF(Roster!$D3:$M3,G$1)&gt;0,$B3,0)</f>
        <v>1</v>
      </c>
      <c r="H3" s="2">
        <f>IF(COUNTIF(Roster!$D3:$M3,H$1)&gt;0,$B3,0)</f>
        <v>0</v>
      </c>
      <c r="I3" s="2">
        <f>IF(COUNTIF(Roster!$D3:$M3,I$1)&gt;0,$B3,0)</f>
        <v>0</v>
      </c>
      <c r="J3" s="2">
        <f>IF(COUNTIF(Roster!$D3:$M3,J$1)&gt;0,$B3,0)</f>
        <v>1</v>
      </c>
      <c r="K3" s="2">
        <f>IF(COUNTIF(Roster!$D3:$M3,K$1)&gt;0,$B3,0)</f>
        <v>0</v>
      </c>
      <c r="L3" s="2">
        <f>IF(COUNTIF(Roster!$D3:$M3,L$1)&gt;0,$B3,0)</f>
        <v>1</v>
      </c>
      <c r="M3" s="2">
        <f>IF(COUNTIF(Roster!$D3:$M3,M$1)&gt;0,$B3,0)</f>
        <v>1</v>
      </c>
      <c r="N3" s="2">
        <f>IF(COUNTIF(Roster!$D3:$M3,N$1)&gt;0,$B3,0)</f>
        <v>0</v>
      </c>
      <c r="O3" s="2">
        <f>IF(COUNTIF(Roster!$D3:$M3,O$1)&gt;0,$B3,0)</f>
        <v>0</v>
      </c>
      <c r="P3" s="2">
        <f>IF(COUNTIF(Roster!$D3:$M3,P$1)&gt;0,$B3,0)</f>
        <v>0</v>
      </c>
      <c r="Q3" s="2">
        <f>IF(COUNTIF(Roster!$D3:$M3,Q$1)&gt;0,$B3,0)</f>
        <v>0</v>
      </c>
      <c r="R3" s="2">
        <f>IF(COUNTIF(Roster!$D3:$M3,R$1)&gt;0,$B3,0)</f>
        <v>0</v>
      </c>
      <c r="S3" s="2">
        <f>IF(COUNTIF(Roster!$D3:$M3,S$1)&gt;0,$B3,0)</f>
        <v>0</v>
      </c>
      <c r="T3" s="2">
        <f>IF(COUNTIF(Roster!$D3:$M3,T$1)&gt;0,$B3,0)</f>
        <v>0</v>
      </c>
      <c r="U3" s="2">
        <f>IF(COUNTIF(Roster!$D3:$M3,U$1)&gt;0,$B3,0)</f>
        <v>0</v>
      </c>
      <c r="V3" s="2">
        <f>IF(COUNTIF(Roster!$D3:$M3,V$1)&gt;0,$B3,0)</f>
        <v>0</v>
      </c>
      <c r="W3" s="2">
        <f>IF(COUNTIF(Roster!$D3:$M3,W$1)&gt;0,$B3,0)</f>
        <v>1</v>
      </c>
      <c r="X3" s="2">
        <f t="shared" si="0"/>
        <v>4</v>
      </c>
    </row>
    <row r="4" spans="1:24" ht="15" customHeight="1" x14ac:dyDescent="0.3">
      <c r="A4" s="2">
        <f>Roster!A4</f>
        <v>3</v>
      </c>
      <c r="B4" s="2">
        <f>Roster!C4</f>
        <v>1</v>
      </c>
      <c r="C4" s="2">
        <f>IF(COUNTIF(Roster!$D4:$M4,C$1)&gt;0,$B4,0)</f>
        <v>1</v>
      </c>
      <c r="D4" s="2">
        <f>IF(COUNTIF(Roster!$D4:$M4,D$1)&gt;0,$B4,0)</f>
        <v>1</v>
      </c>
      <c r="E4" s="2">
        <f>IF(COUNTIF(Roster!$D4:$M4,E$1)&gt;0,$B4,0)</f>
        <v>1</v>
      </c>
      <c r="F4" s="2">
        <f>IF(COUNTIF(Roster!$D4:$M4,F$1)&gt;0,$B4,0)</f>
        <v>0</v>
      </c>
      <c r="G4" s="2">
        <f>IF(COUNTIF(Roster!$D4:$M4,G$1)&gt;0,$B4,0)</f>
        <v>1</v>
      </c>
      <c r="H4" s="2">
        <f>IF(COUNTIF(Roster!$D4:$M4,H$1)&gt;0,$B4,0)</f>
        <v>0</v>
      </c>
      <c r="I4" s="2">
        <f>IF(COUNTIF(Roster!$D4:$M4,I$1)&gt;0,$B4,0)</f>
        <v>1</v>
      </c>
      <c r="J4" s="2">
        <f>IF(COUNTIF(Roster!$D4:$M4,J$1)&gt;0,$B4,0)</f>
        <v>0</v>
      </c>
      <c r="K4" s="2">
        <f>IF(COUNTIF(Roster!$D4:$M4,K$1)&gt;0,$B4,0)</f>
        <v>0</v>
      </c>
      <c r="L4" s="2">
        <f>IF(COUNTIF(Roster!$D4:$M4,L$1)&gt;0,$B4,0)</f>
        <v>0</v>
      </c>
      <c r="M4" s="2">
        <f>IF(COUNTIF(Roster!$D4:$M4,M$1)&gt;0,$B4,0)</f>
        <v>1</v>
      </c>
      <c r="N4" s="2">
        <f>IF(COUNTIF(Roster!$D4:$M4,N$1)&gt;0,$B4,0)</f>
        <v>0</v>
      </c>
      <c r="O4" s="2">
        <f>IF(COUNTIF(Roster!$D4:$M4,O$1)&gt;0,$B4,0)</f>
        <v>0</v>
      </c>
      <c r="P4" s="2">
        <f>IF(COUNTIF(Roster!$D4:$M4,P$1)&gt;0,$B4,0)</f>
        <v>0</v>
      </c>
      <c r="Q4" s="2">
        <f>IF(COUNTIF(Roster!$D4:$M4,Q$1)&gt;0,$B4,0)</f>
        <v>1</v>
      </c>
      <c r="R4" s="2">
        <f>IF(COUNTIF(Roster!$D4:$M4,R$1)&gt;0,$B4,0)</f>
        <v>0</v>
      </c>
      <c r="S4" s="2">
        <f>IF(COUNTIF(Roster!$D4:$M4,S$1)&gt;0,$B4,0)</f>
        <v>0</v>
      </c>
      <c r="T4" s="2">
        <f>IF(COUNTIF(Roster!$D4:$M4,T$1)&gt;0,$B4,0)</f>
        <v>0</v>
      </c>
      <c r="U4" s="2">
        <f>IF(COUNTIF(Roster!$D4:$M4,U$1)&gt;0,$B4,0)</f>
        <v>0</v>
      </c>
      <c r="V4" s="2">
        <f>IF(COUNTIF(Roster!$D4:$M4,V$1)&gt;0,$B4,0)</f>
        <v>1</v>
      </c>
      <c r="W4" s="2">
        <f>IF(COUNTIF(Roster!$D4:$M4,W$1)&gt;0,$B4,0)</f>
        <v>0</v>
      </c>
      <c r="X4" s="2">
        <f t="shared" si="0"/>
        <v>4</v>
      </c>
    </row>
    <row r="5" spans="1:24" ht="15" customHeight="1" x14ac:dyDescent="0.3">
      <c r="A5" s="2">
        <f>Roster!A5</f>
        <v>4</v>
      </c>
      <c r="B5" s="2">
        <f>Roster!C5</f>
        <v>1</v>
      </c>
      <c r="C5" s="2">
        <f>IF(COUNTIF(Roster!$D5:$M5,C$1)&gt;0,$B5,0)</f>
        <v>1</v>
      </c>
      <c r="D5" s="2">
        <f>IF(COUNTIF(Roster!$D5:$M5,D$1)&gt;0,$B5,0)</f>
        <v>1</v>
      </c>
      <c r="E5" s="2">
        <f>IF(COUNTIF(Roster!$D5:$M5,E$1)&gt;0,$B5,0)</f>
        <v>1</v>
      </c>
      <c r="F5" s="2">
        <f>IF(COUNTIF(Roster!$D5:$M5,F$1)&gt;0,$B5,0)</f>
        <v>1</v>
      </c>
      <c r="G5" s="2">
        <f>IF(COUNTIF(Roster!$D5:$M5,G$1)&gt;0,$B5,0)</f>
        <v>0</v>
      </c>
      <c r="H5" s="2">
        <f>IF(COUNTIF(Roster!$D5:$M5,H$1)&gt;0,$B5,0)</f>
        <v>0</v>
      </c>
      <c r="I5" s="2">
        <f>IF(COUNTIF(Roster!$D5:$M5,I$1)&gt;0,$B5,0)</f>
        <v>1</v>
      </c>
      <c r="J5" s="2">
        <f>IF(COUNTIF(Roster!$D5:$M5,J$1)&gt;0,$B5,0)</f>
        <v>0</v>
      </c>
      <c r="K5" s="2">
        <f>IF(COUNTIF(Roster!$D5:$M5,K$1)&gt;0,$B5,0)</f>
        <v>0</v>
      </c>
      <c r="L5" s="2">
        <f>IF(COUNTIF(Roster!$D5:$M5,L$1)&gt;0,$B5,0)</f>
        <v>0</v>
      </c>
      <c r="M5" s="2">
        <f>IF(COUNTIF(Roster!$D5:$M5,M$1)&gt;0,$B5,0)</f>
        <v>0</v>
      </c>
      <c r="N5" s="2">
        <f>IF(COUNTIF(Roster!$D5:$M5,N$1)&gt;0,$B5,0)</f>
        <v>1</v>
      </c>
      <c r="O5" s="2">
        <f>IF(COUNTIF(Roster!$D5:$M5,O$1)&gt;0,$B5,0)</f>
        <v>0</v>
      </c>
      <c r="P5" s="2">
        <f>IF(COUNTIF(Roster!$D5:$M5,P$1)&gt;0,$B5,0)</f>
        <v>0</v>
      </c>
      <c r="Q5" s="2">
        <f>IF(COUNTIF(Roster!$D5:$M5,Q$1)&gt;0,$B5,0)</f>
        <v>0</v>
      </c>
      <c r="R5" s="2">
        <f>IF(COUNTIF(Roster!$D5:$M5,R$1)&gt;0,$B5,0)</f>
        <v>0</v>
      </c>
      <c r="S5" s="2">
        <f>IF(COUNTIF(Roster!$D5:$M5,S$1)&gt;0,$B5,0)</f>
        <v>1</v>
      </c>
      <c r="T5" s="2">
        <f>IF(COUNTIF(Roster!$D5:$M5,T$1)&gt;0,$B5,0)</f>
        <v>0</v>
      </c>
      <c r="U5" s="2">
        <f>IF(COUNTIF(Roster!$D5:$M5,U$1)&gt;0,$B5,0)</f>
        <v>1</v>
      </c>
      <c r="V5" s="2">
        <f>IF(COUNTIF(Roster!$D5:$M5,V$1)&gt;0,$B5,0)</f>
        <v>0</v>
      </c>
      <c r="W5" s="2">
        <f>IF(COUNTIF(Roster!$D5:$M5,W$1)&gt;0,$B5,0)</f>
        <v>0</v>
      </c>
      <c r="X5" s="2">
        <f t="shared" si="0"/>
        <v>4</v>
      </c>
    </row>
    <row r="6" spans="1:24" ht="15" customHeight="1" x14ac:dyDescent="0.3">
      <c r="A6" s="2">
        <f>Roster!A6</f>
        <v>5</v>
      </c>
      <c r="B6" s="2">
        <f>Roster!C6</f>
        <v>1</v>
      </c>
      <c r="C6" s="2">
        <f>IF(COUNTIF(Roster!$D6:$M6,C$1)&gt;0,$B6,0)</f>
        <v>1</v>
      </c>
      <c r="D6" s="2">
        <f>IF(COUNTIF(Roster!$D6:$M6,D$1)&gt;0,$B6,0)</f>
        <v>1</v>
      </c>
      <c r="E6" s="2">
        <f>IF(COUNTIF(Roster!$D6:$M6,E$1)&gt;0,$B6,0)</f>
        <v>1</v>
      </c>
      <c r="F6" s="2">
        <f>IF(COUNTIF(Roster!$D6:$M6,F$1)&gt;0,$B6,0)</f>
        <v>1</v>
      </c>
      <c r="G6" s="2">
        <f>IF(COUNTIF(Roster!$D6:$M6,G$1)&gt;0,$B6,0)</f>
        <v>0</v>
      </c>
      <c r="H6" s="2">
        <f>IF(COUNTIF(Roster!$D6:$M6,H$1)&gt;0,$B6,0)</f>
        <v>0</v>
      </c>
      <c r="I6" s="2">
        <f>IF(COUNTIF(Roster!$D6:$M6,I$1)&gt;0,$B6,0)</f>
        <v>1</v>
      </c>
      <c r="J6" s="2">
        <f>IF(COUNTIF(Roster!$D6:$M6,J$1)&gt;0,$B6,0)</f>
        <v>0</v>
      </c>
      <c r="K6" s="2">
        <f>IF(COUNTIF(Roster!$D6:$M6,K$1)&gt;0,$B6,0)</f>
        <v>0</v>
      </c>
      <c r="L6" s="2">
        <f>IF(COUNTIF(Roster!$D6:$M6,L$1)&gt;0,$B6,0)</f>
        <v>1</v>
      </c>
      <c r="M6" s="2">
        <f>IF(COUNTIF(Roster!$D6:$M6,M$1)&gt;0,$B6,0)</f>
        <v>0</v>
      </c>
      <c r="N6" s="2">
        <f>IF(COUNTIF(Roster!$D6:$M6,N$1)&gt;0,$B6,0)</f>
        <v>0</v>
      </c>
      <c r="O6" s="2">
        <f>IF(COUNTIF(Roster!$D6:$M6,O$1)&gt;0,$B6,0)</f>
        <v>0</v>
      </c>
      <c r="P6" s="2">
        <f>IF(COUNTIF(Roster!$D6:$M6,P$1)&gt;0,$B6,0)</f>
        <v>0</v>
      </c>
      <c r="Q6" s="2">
        <f>IF(COUNTIF(Roster!$D6:$M6,Q$1)&gt;0,$B6,0)</f>
        <v>0</v>
      </c>
      <c r="R6" s="2">
        <f>IF(COUNTIF(Roster!$D6:$M6,R$1)&gt;0,$B6,0)</f>
        <v>0</v>
      </c>
      <c r="S6" s="2">
        <f>IF(COUNTIF(Roster!$D6:$M6,S$1)&gt;0,$B6,0)</f>
        <v>1</v>
      </c>
      <c r="T6" s="2">
        <f>IF(COUNTIF(Roster!$D6:$M6,T$1)&gt;0,$B6,0)</f>
        <v>0</v>
      </c>
      <c r="U6" s="2">
        <f>IF(COUNTIF(Roster!$D6:$M6,U$1)&gt;0,$B6,0)</f>
        <v>1</v>
      </c>
      <c r="V6" s="2">
        <f>IF(COUNTIF(Roster!$D6:$M6,V$1)&gt;0,$B6,0)</f>
        <v>0</v>
      </c>
      <c r="W6" s="2">
        <f>IF(COUNTIF(Roster!$D6:$M6,W$1)&gt;0,$B6,0)</f>
        <v>0</v>
      </c>
      <c r="X6" s="2">
        <f t="shared" si="0"/>
        <v>4</v>
      </c>
    </row>
    <row r="7" spans="1:24" ht="15" customHeight="1" x14ac:dyDescent="0.3">
      <c r="A7" s="2">
        <f>Roster!A7</f>
        <v>6</v>
      </c>
      <c r="B7" s="2">
        <f>Roster!C7</f>
        <v>1</v>
      </c>
      <c r="C7" s="2">
        <f>IF(COUNTIF(Roster!$D7:$M7,C$1)&gt;0,$B7,0)</f>
        <v>1</v>
      </c>
      <c r="D7" s="2">
        <f>IF(COUNTIF(Roster!$D7:$M7,D$1)&gt;0,$B7,0)</f>
        <v>1</v>
      </c>
      <c r="E7" s="2">
        <f>IF(COUNTIF(Roster!$D7:$M7,E$1)&gt;0,$B7,0)</f>
        <v>1</v>
      </c>
      <c r="F7" s="2">
        <f>IF(COUNTIF(Roster!$D7:$M7,F$1)&gt;0,$B7,0)</f>
        <v>1</v>
      </c>
      <c r="G7" s="2">
        <f>IF(COUNTIF(Roster!$D7:$M7,G$1)&gt;0,$B7,0)</f>
        <v>0</v>
      </c>
      <c r="H7" s="2">
        <f>IF(COUNTIF(Roster!$D7:$M7,H$1)&gt;0,$B7,0)</f>
        <v>1</v>
      </c>
      <c r="I7" s="2">
        <f>IF(COUNTIF(Roster!$D7:$M7,I$1)&gt;0,$B7,0)</f>
        <v>1</v>
      </c>
      <c r="J7" s="2">
        <f>IF(COUNTIF(Roster!$D7:$M7,J$1)&gt;0,$B7,0)</f>
        <v>0</v>
      </c>
      <c r="K7" s="2">
        <f>IF(COUNTIF(Roster!$D7:$M7,K$1)&gt;0,$B7,0)</f>
        <v>0</v>
      </c>
      <c r="L7" s="2">
        <f>IF(COUNTIF(Roster!$D7:$M7,L$1)&gt;0,$B7,0)</f>
        <v>0</v>
      </c>
      <c r="M7" s="2">
        <f>IF(COUNTIF(Roster!$D7:$M7,M$1)&gt;0,$B7,0)</f>
        <v>1</v>
      </c>
      <c r="N7" s="2">
        <f>IF(COUNTIF(Roster!$D7:$M7,N$1)&gt;0,$B7,0)</f>
        <v>0</v>
      </c>
      <c r="O7" s="2">
        <f>IF(COUNTIF(Roster!$D7:$M7,O$1)&gt;0,$B7,0)</f>
        <v>0</v>
      </c>
      <c r="P7" s="2">
        <f>IF(COUNTIF(Roster!$D7:$M7,P$1)&gt;0,$B7,0)</f>
        <v>0</v>
      </c>
      <c r="Q7" s="2">
        <f>IF(COUNTIF(Roster!$D7:$M7,Q$1)&gt;0,$B7,0)</f>
        <v>0</v>
      </c>
      <c r="R7" s="2">
        <f>IF(COUNTIF(Roster!$D7:$M7,R$1)&gt;0,$B7,0)</f>
        <v>0</v>
      </c>
      <c r="S7" s="2">
        <f>IF(COUNTIF(Roster!$D7:$M7,S$1)&gt;0,$B7,0)</f>
        <v>1</v>
      </c>
      <c r="T7" s="2">
        <f>IF(COUNTIF(Roster!$D7:$M7,T$1)&gt;0,$B7,0)</f>
        <v>0</v>
      </c>
      <c r="U7" s="2">
        <f>IF(COUNTIF(Roster!$D7:$M7,U$1)&gt;0,$B7,0)</f>
        <v>1</v>
      </c>
      <c r="V7" s="2">
        <f>IF(COUNTIF(Roster!$D7:$M7,V$1)&gt;0,$B7,0)</f>
        <v>0</v>
      </c>
      <c r="W7" s="2">
        <f>IF(COUNTIF(Roster!$D7:$M7,W$1)&gt;0,$B7,0)</f>
        <v>0</v>
      </c>
      <c r="X7" s="2">
        <f t="shared" si="0"/>
        <v>5</v>
      </c>
    </row>
    <row r="8" spans="1:24" ht="15" customHeight="1" x14ac:dyDescent="0.3">
      <c r="A8" s="2">
        <f>Roster!A8</f>
        <v>7</v>
      </c>
      <c r="B8" s="2">
        <f>Roster!C8</f>
        <v>1</v>
      </c>
      <c r="C8" s="2">
        <f>IF(COUNTIF(Roster!$D8:$M8,C$1)&gt;0,$B8,0)</f>
        <v>1</v>
      </c>
      <c r="D8" s="2">
        <f>IF(COUNTIF(Roster!$D8:$M8,D$1)&gt;0,$B8,0)</f>
        <v>1</v>
      </c>
      <c r="E8" s="2">
        <f>IF(COUNTIF(Roster!$D8:$M8,E$1)&gt;0,$B8,0)</f>
        <v>1</v>
      </c>
      <c r="F8" s="2">
        <f>IF(COUNTIF(Roster!$D8:$M8,F$1)&gt;0,$B8,0)</f>
        <v>1</v>
      </c>
      <c r="G8" s="2">
        <f>IF(COUNTIF(Roster!$D8:$M8,G$1)&gt;0,$B8,0)</f>
        <v>0</v>
      </c>
      <c r="H8" s="2">
        <f>IF(COUNTIF(Roster!$D8:$M8,H$1)&gt;0,$B8,0)</f>
        <v>0</v>
      </c>
      <c r="I8" s="2">
        <f>IF(COUNTIF(Roster!$D8:$M8,I$1)&gt;0,$B8,0)</f>
        <v>1</v>
      </c>
      <c r="J8" s="2">
        <f>IF(COUNTIF(Roster!$D8:$M8,J$1)&gt;0,$B8,0)</f>
        <v>0</v>
      </c>
      <c r="K8" s="2">
        <f>IF(COUNTIF(Roster!$D8:$M8,K$1)&gt;0,$B8,0)</f>
        <v>0</v>
      </c>
      <c r="L8" s="2">
        <f>IF(COUNTIF(Roster!$D8:$M8,L$1)&gt;0,$B8,0)</f>
        <v>0</v>
      </c>
      <c r="M8" s="2">
        <f>IF(COUNTIF(Roster!$D8:$M8,M$1)&gt;0,$B8,0)</f>
        <v>1</v>
      </c>
      <c r="N8" s="2">
        <f>IF(COUNTIF(Roster!$D8:$M8,N$1)&gt;0,$B8,0)</f>
        <v>0</v>
      </c>
      <c r="O8" s="2">
        <f>IF(COUNTIF(Roster!$D8:$M8,O$1)&gt;0,$B8,0)</f>
        <v>0</v>
      </c>
      <c r="P8" s="2">
        <f>IF(COUNTIF(Roster!$D8:$M8,P$1)&gt;0,$B8,0)</f>
        <v>0</v>
      </c>
      <c r="Q8" s="2">
        <f>IF(COUNTIF(Roster!$D8:$M8,Q$1)&gt;0,$B8,0)</f>
        <v>0</v>
      </c>
      <c r="R8" s="2">
        <f>IF(COUNTIF(Roster!$D8:$M8,R$1)&gt;0,$B8,0)</f>
        <v>0</v>
      </c>
      <c r="S8" s="2">
        <f>IF(COUNTIF(Roster!$D8:$M8,S$1)&gt;0,$B8,0)</f>
        <v>1</v>
      </c>
      <c r="T8" s="2">
        <f>IF(COUNTIF(Roster!$D8:$M8,T$1)&gt;0,$B8,0)</f>
        <v>0</v>
      </c>
      <c r="U8" s="2">
        <f>IF(COUNTIF(Roster!$D8:$M8,U$1)&gt;0,$B8,0)</f>
        <v>1</v>
      </c>
      <c r="V8" s="2">
        <f>IF(COUNTIF(Roster!$D8:$M8,V$1)&gt;0,$B8,0)</f>
        <v>0</v>
      </c>
      <c r="W8" s="2">
        <f>IF(COUNTIF(Roster!$D8:$M8,W$1)&gt;0,$B8,0)</f>
        <v>0</v>
      </c>
      <c r="X8" s="2">
        <f t="shared" si="0"/>
        <v>4</v>
      </c>
    </row>
    <row r="9" spans="1:24" ht="15" customHeight="1" x14ac:dyDescent="0.3">
      <c r="A9" s="2">
        <f>Roster!A9</f>
        <v>8</v>
      </c>
      <c r="B9" s="2">
        <f>Roster!C9</f>
        <v>1</v>
      </c>
      <c r="C9" s="2">
        <f>IF(COUNTIF(Roster!$D9:$M9,C$1)&gt;0,$B9,0)</f>
        <v>1</v>
      </c>
      <c r="D9" s="2">
        <f>IF(COUNTIF(Roster!$D9:$M9,D$1)&gt;0,$B9,0)</f>
        <v>1</v>
      </c>
      <c r="E9" s="2">
        <f>IF(COUNTIF(Roster!$D9:$M9,E$1)&gt;0,$B9,0)</f>
        <v>1</v>
      </c>
      <c r="F9" s="2">
        <f>IF(COUNTIF(Roster!$D9:$M9,F$1)&gt;0,$B9,0)</f>
        <v>1</v>
      </c>
      <c r="G9" s="2">
        <f>IF(COUNTIF(Roster!$D9:$M9,G$1)&gt;0,$B9,0)</f>
        <v>0</v>
      </c>
      <c r="H9" s="2">
        <f>IF(COUNTIF(Roster!$D9:$M9,H$1)&gt;0,$B9,0)</f>
        <v>0</v>
      </c>
      <c r="I9" s="2">
        <f>IF(COUNTIF(Roster!$D9:$M9,I$1)&gt;0,$B9,0)</f>
        <v>1</v>
      </c>
      <c r="J9" s="2">
        <f>IF(COUNTIF(Roster!$D9:$M9,J$1)&gt;0,$B9,0)</f>
        <v>0</v>
      </c>
      <c r="K9" s="2">
        <f>IF(COUNTIF(Roster!$D9:$M9,K$1)&gt;0,$B9,0)</f>
        <v>1</v>
      </c>
      <c r="L9" s="2">
        <f>IF(COUNTIF(Roster!$D9:$M9,L$1)&gt;0,$B9,0)</f>
        <v>0</v>
      </c>
      <c r="M9" s="2">
        <f>IF(COUNTIF(Roster!$D9:$M9,M$1)&gt;0,$B9,0)</f>
        <v>0</v>
      </c>
      <c r="N9" s="2">
        <f>IF(COUNTIF(Roster!$D9:$M9,N$1)&gt;0,$B9,0)</f>
        <v>0</v>
      </c>
      <c r="O9" s="2">
        <f>IF(COUNTIF(Roster!$D9:$M9,O$1)&gt;0,$B9,0)</f>
        <v>0</v>
      </c>
      <c r="P9" s="2">
        <f>IF(COUNTIF(Roster!$D9:$M9,P$1)&gt;0,$B9,0)</f>
        <v>0</v>
      </c>
      <c r="Q9" s="2">
        <f>IF(COUNTIF(Roster!$D9:$M9,Q$1)&gt;0,$B9,0)</f>
        <v>0</v>
      </c>
      <c r="R9" s="2">
        <f>IF(COUNTIF(Roster!$D9:$M9,R$1)&gt;0,$B9,0)</f>
        <v>0</v>
      </c>
      <c r="S9" s="2">
        <f>IF(COUNTIF(Roster!$D9:$M9,S$1)&gt;0,$B9,0)</f>
        <v>1</v>
      </c>
      <c r="T9" s="2">
        <f>IF(COUNTIF(Roster!$D9:$M9,T$1)&gt;0,$B9,0)</f>
        <v>0</v>
      </c>
      <c r="U9" s="2">
        <f>IF(COUNTIF(Roster!$D9:$M9,U$1)&gt;0,$B9,0)</f>
        <v>1</v>
      </c>
      <c r="V9" s="2">
        <f>IF(COUNTIF(Roster!$D9:$M9,V$1)&gt;0,$B9,0)</f>
        <v>0</v>
      </c>
      <c r="W9" s="2">
        <f>IF(COUNTIF(Roster!$D9:$M9,W$1)&gt;0,$B9,0)</f>
        <v>0</v>
      </c>
      <c r="X9" s="2">
        <f t="shared" si="0"/>
        <v>4</v>
      </c>
    </row>
    <row r="10" spans="1:24" ht="15" customHeight="1" x14ac:dyDescent="0.3">
      <c r="A10" s="2">
        <f>Roster!A10</f>
        <v>9</v>
      </c>
      <c r="B10" s="2">
        <f>Roster!C10</f>
        <v>1</v>
      </c>
      <c r="C10" s="2">
        <f>IF(COUNTIF(Roster!$D10:$M10,C$1)&gt;0,$B10,0)</f>
        <v>1</v>
      </c>
      <c r="D10" s="2">
        <f>IF(COUNTIF(Roster!$D10:$M10,D$1)&gt;0,$B10,0)</f>
        <v>1</v>
      </c>
      <c r="E10" s="2">
        <f>IF(COUNTIF(Roster!$D10:$M10,E$1)&gt;0,$B10,0)</f>
        <v>1</v>
      </c>
      <c r="F10" s="2">
        <f>IF(COUNTIF(Roster!$D10:$M10,F$1)&gt;0,$B10,0)</f>
        <v>0</v>
      </c>
      <c r="G10" s="2">
        <f>IF(COUNTIF(Roster!$D10:$M10,G$1)&gt;0,$B10,0)</f>
        <v>1</v>
      </c>
      <c r="H10" s="2">
        <f>IF(COUNTIF(Roster!$D10:$M10,H$1)&gt;0,$B10,0)</f>
        <v>0</v>
      </c>
      <c r="I10" s="2">
        <f>IF(COUNTIF(Roster!$D10:$M10,I$1)&gt;0,$B10,0)</f>
        <v>1</v>
      </c>
      <c r="J10" s="2">
        <f>IF(COUNTIF(Roster!$D10:$M10,J$1)&gt;0,$B10,0)</f>
        <v>1</v>
      </c>
      <c r="K10" s="2">
        <f>IF(COUNTIF(Roster!$D10:$M10,K$1)&gt;0,$B10,0)</f>
        <v>0</v>
      </c>
      <c r="L10" s="2">
        <f>IF(COUNTIF(Roster!$D10:$M10,L$1)&gt;0,$B10,0)</f>
        <v>0</v>
      </c>
      <c r="M10" s="2">
        <f>IF(COUNTIF(Roster!$D10:$M10,M$1)&gt;0,$B10,0)</f>
        <v>0</v>
      </c>
      <c r="N10" s="2">
        <f>IF(COUNTIF(Roster!$D10:$M10,N$1)&gt;0,$B10,0)</f>
        <v>0</v>
      </c>
      <c r="O10" s="2">
        <f>IF(COUNTIF(Roster!$D10:$M10,O$1)&gt;0,$B10,0)</f>
        <v>0</v>
      </c>
      <c r="P10" s="2">
        <f>IF(COUNTIF(Roster!$D10:$M10,P$1)&gt;0,$B10,0)</f>
        <v>0</v>
      </c>
      <c r="Q10" s="2">
        <f>IF(COUNTIF(Roster!$D10:$M10,Q$1)&gt;0,$B10,0)</f>
        <v>1</v>
      </c>
      <c r="R10" s="2">
        <f>IF(COUNTIF(Roster!$D10:$M10,R$1)&gt;0,$B10,0)</f>
        <v>0</v>
      </c>
      <c r="S10" s="2">
        <f>IF(COUNTIF(Roster!$D10:$M10,S$1)&gt;0,$B10,0)</f>
        <v>1</v>
      </c>
      <c r="T10" s="2">
        <f>IF(COUNTIF(Roster!$D10:$M10,T$1)&gt;0,$B10,0)</f>
        <v>0</v>
      </c>
      <c r="U10" s="2">
        <f>IF(COUNTIF(Roster!$D10:$M10,U$1)&gt;0,$B10,0)</f>
        <v>0</v>
      </c>
      <c r="V10" s="2">
        <f>IF(COUNTIF(Roster!$D10:$M10,V$1)&gt;0,$B10,0)</f>
        <v>0</v>
      </c>
      <c r="W10" s="2">
        <f>IF(COUNTIF(Roster!$D10:$M10,W$1)&gt;0,$B10,0)</f>
        <v>0</v>
      </c>
      <c r="X10" s="2">
        <f t="shared" si="0"/>
        <v>4</v>
      </c>
    </row>
    <row r="11" spans="1:24" ht="15" customHeight="1" x14ac:dyDescent="0.3">
      <c r="A11" s="2">
        <f>Roster!A11</f>
        <v>10</v>
      </c>
      <c r="B11" s="2">
        <f>Roster!C11</f>
        <v>1</v>
      </c>
      <c r="C11" s="2">
        <f>IF(COUNTIF(Roster!$D11:$M11,C$1)&gt;0,$B11,0)</f>
        <v>1</v>
      </c>
      <c r="D11" s="2">
        <f>IF(COUNTIF(Roster!$D11:$M11,D$1)&gt;0,$B11,0)</f>
        <v>1</v>
      </c>
      <c r="E11" s="2">
        <f>IF(COUNTIF(Roster!$D11:$M11,E$1)&gt;0,$B11,0)</f>
        <v>1</v>
      </c>
      <c r="F11" s="2">
        <f>IF(COUNTIF(Roster!$D11:$M11,F$1)&gt;0,$B11,0)</f>
        <v>1</v>
      </c>
      <c r="G11" s="2">
        <f>IF(COUNTIF(Roster!$D11:$M11,G$1)&gt;0,$B11,0)</f>
        <v>0</v>
      </c>
      <c r="H11" s="2">
        <f>IF(COUNTIF(Roster!$D11:$M11,H$1)&gt;0,$B11,0)</f>
        <v>0</v>
      </c>
      <c r="I11" s="2">
        <f>IF(COUNTIF(Roster!$D11:$M11,I$1)&gt;0,$B11,0)</f>
        <v>1</v>
      </c>
      <c r="J11" s="2">
        <f>IF(COUNTIF(Roster!$D11:$M11,J$1)&gt;0,$B11,0)</f>
        <v>0</v>
      </c>
      <c r="K11" s="2">
        <f>IF(COUNTIF(Roster!$D11:$M11,K$1)&gt;0,$B11,0)</f>
        <v>0</v>
      </c>
      <c r="L11" s="2">
        <f>IF(COUNTIF(Roster!$D11:$M11,L$1)&gt;0,$B11,0)</f>
        <v>0</v>
      </c>
      <c r="M11" s="2">
        <f>IF(COUNTIF(Roster!$D11:$M11,M$1)&gt;0,$B11,0)</f>
        <v>0</v>
      </c>
      <c r="N11" s="2">
        <f>IF(COUNTIF(Roster!$D11:$M11,N$1)&gt;0,$B11,0)</f>
        <v>0</v>
      </c>
      <c r="O11" s="2">
        <f>IF(COUNTIF(Roster!$D11:$M11,O$1)&gt;0,$B11,0)</f>
        <v>0</v>
      </c>
      <c r="P11" s="2">
        <f>IF(COUNTIF(Roster!$D11:$M11,P$1)&gt;0,$B11,0)</f>
        <v>0</v>
      </c>
      <c r="Q11" s="2">
        <f>IF(COUNTIF(Roster!$D11:$M11,Q$1)&gt;0,$B11,0)</f>
        <v>0</v>
      </c>
      <c r="R11" s="2">
        <f>IF(COUNTIF(Roster!$D11:$M11,R$1)&gt;0,$B11,0)</f>
        <v>0</v>
      </c>
      <c r="S11" s="2">
        <f>IF(COUNTIF(Roster!$D11:$M11,S$1)&gt;0,$B11,0)</f>
        <v>1</v>
      </c>
      <c r="T11" s="2">
        <f>IF(COUNTIF(Roster!$D11:$M11,T$1)&gt;0,$B11,0)</f>
        <v>0</v>
      </c>
      <c r="U11" s="2">
        <f>IF(COUNTIF(Roster!$D11:$M11,U$1)&gt;0,$B11,0)</f>
        <v>1</v>
      </c>
      <c r="V11" s="2">
        <f>IF(COUNTIF(Roster!$D11:$M11,V$1)&gt;0,$B11,0)</f>
        <v>1</v>
      </c>
      <c r="W11" s="2">
        <f>IF(COUNTIF(Roster!$D11:$M11,W$1)&gt;0,$B11,0)</f>
        <v>0</v>
      </c>
      <c r="X11" s="2">
        <f t="shared" si="0"/>
        <v>4</v>
      </c>
    </row>
    <row r="12" spans="1:24" ht="15" customHeight="1" x14ac:dyDescent="0.3">
      <c r="A12" s="2">
        <f>Roster!A12</f>
        <v>11</v>
      </c>
      <c r="B12" s="2">
        <f>Roster!C12</f>
        <v>1</v>
      </c>
      <c r="C12" s="2">
        <f>IF(COUNTIF(Roster!$D12:$M12,C$1)&gt;0,$B12,0)</f>
        <v>1</v>
      </c>
      <c r="D12" s="2">
        <f>IF(COUNTIF(Roster!$D12:$M12,D$1)&gt;0,$B12,0)</f>
        <v>1</v>
      </c>
      <c r="E12" s="2">
        <f>IF(COUNTIF(Roster!$D12:$M12,E$1)&gt;0,$B12,0)</f>
        <v>1</v>
      </c>
      <c r="F12" s="2">
        <f>IF(COUNTIF(Roster!$D12:$M12,F$1)&gt;0,$B12,0)</f>
        <v>0</v>
      </c>
      <c r="G12" s="2">
        <f>IF(COUNTIF(Roster!$D12:$M12,G$1)&gt;0,$B12,0)</f>
        <v>1</v>
      </c>
      <c r="H12" s="2">
        <f>IF(COUNTIF(Roster!$D12:$M12,H$1)&gt;0,$B12,0)</f>
        <v>0</v>
      </c>
      <c r="I12" s="2">
        <f>IF(COUNTIF(Roster!$D12:$M12,I$1)&gt;0,$B12,0)</f>
        <v>1</v>
      </c>
      <c r="J12" s="2">
        <f>IF(COUNTIF(Roster!$D12:$M12,J$1)&gt;0,$B12,0)</f>
        <v>1</v>
      </c>
      <c r="K12" s="2">
        <f>IF(COUNTIF(Roster!$D12:$M12,K$1)&gt;0,$B12,0)</f>
        <v>0</v>
      </c>
      <c r="L12" s="2">
        <f>IF(COUNTIF(Roster!$D12:$M12,L$1)&gt;0,$B12,0)</f>
        <v>0</v>
      </c>
      <c r="M12" s="2">
        <f>IF(COUNTIF(Roster!$D12:$M12,M$1)&gt;0,$B12,0)</f>
        <v>1</v>
      </c>
      <c r="N12" s="2">
        <f>IF(COUNTIF(Roster!$D12:$M12,N$1)&gt;0,$B12,0)</f>
        <v>1</v>
      </c>
      <c r="O12" s="2">
        <f>IF(COUNTIF(Roster!$D12:$M12,O$1)&gt;0,$B12,0)</f>
        <v>0</v>
      </c>
      <c r="P12" s="2">
        <f>IF(COUNTIF(Roster!$D12:$M12,P$1)&gt;0,$B12,0)</f>
        <v>0</v>
      </c>
      <c r="Q12" s="2">
        <f>IF(COUNTIF(Roster!$D12:$M12,Q$1)&gt;0,$B12,0)</f>
        <v>0</v>
      </c>
      <c r="R12" s="2">
        <f>IF(COUNTIF(Roster!$D12:$M12,R$1)&gt;0,$B12,0)</f>
        <v>0</v>
      </c>
      <c r="S12" s="2">
        <f>IF(COUNTIF(Roster!$D12:$M12,S$1)&gt;0,$B12,0)</f>
        <v>0</v>
      </c>
      <c r="T12" s="2">
        <f>IF(COUNTIF(Roster!$D12:$M12,T$1)&gt;0,$B12,0)</f>
        <v>0</v>
      </c>
      <c r="U12" s="2">
        <f>IF(COUNTIF(Roster!$D12:$M12,U$1)&gt;0,$B12,0)</f>
        <v>0</v>
      </c>
      <c r="V12" s="2">
        <f>IF(COUNTIF(Roster!$D12:$M12,V$1)&gt;0,$B12,0)</f>
        <v>0</v>
      </c>
      <c r="W12" s="2">
        <f>IF(COUNTIF(Roster!$D12:$M12,W$1)&gt;0,$B12,0)</f>
        <v>0</v>
      </c>
      <c r="X12" s="2">
        <f t="shared" si="0"/>
        <v>4</v>
      </c>
    </row>
    <row r="13" spans="1:24" ht="15" customHeight="1" x14ac:dyDescent="0.3">
      <c r="A13" s="2">
        <f>Roster!A13</f>
        <v>12</v>
      </c>
      <c r="B13" s="2">
        <f>Roster!C13</f>
        <v>1</v>
      </c>
      <c r="C13" s="2">
        <f>IF(COUNTIF(Roster!$D13:$M13,C$1)&gt;0,$B13,0)</f>
        <v>1</v>
      </c>
      <c r="D13" s="2">
        <f>IF(COUNTIF(Roster!$D13:$M13,D$1)&gt;0,$B13,0)</f>
        <v>1</v>
      </c>
      <c r="E13" s="2">
        <f>IF(COUNTIF(Roster!$D13:$M13,E$1)&gt;0,$B13,0)</f>
        <v>1</v>
      </c>
      <c r="F13" s="2">
        <f>IF(COUNTIF(Roster!$D13:$M13,F$1)&gt;0,$B13,0)</f>
        <v>1</v>
      </c>
      <c r="G13" s="2">
        <f>IF(COUNTIF(Roster!$D13:$M13,G$1)&gt;0,$B13,0)</f>
        <v>0</v>
      </c>
      <c r="H13" s="2">
        <f>IF(COUNTIF(Roster!$D13:$M13,H$1)&gt;0,$B13,0)</f>
        <v>0</v>
      </c>
      <c r="I13" s="2">
        <f>IF(COUNTIF(Roster!$D13:$M13,I$1)&gt;0,$B13,0)</f>
        <v>1</v>
      </c>
      <c r="J13" s="2">
        <f>IF(COUNTIF(Roster!$D13:$M13,J$1)&gt;0,$B13,0)</f>
        <v>0</v>
      </c>
      <c r="K13" s="2">
        <f>IF(COUNTIF(Roster!$D13:$M13,K$1)&gt;0,$B13,0)</f>
        <v>0</v>
      </c>
      <c r="L13" s="2">
        <f>IF(COUNTIF(Roster!$D13:$M13,L$1)&gt;0,$B13,0)</f>
        <v>0</v>
      </c>
      <c r="M13" s="2">
        <f>IF(COUNTIF(Roster!$D13:$M13,M$1)&gt;0,$B13,0)</f>
        <v>0</v>
      </c>
      <c r="N13" s="2">
        <f>IF(COUNTIF(Roster!$D13:$M13,N$1)&gt;0,$B13,0)</f>
        <v>1</v>
      </c>
      <c r="O13" s="2">
        <f>IF(COUNTIF(Roster!$D13:$M13,O$1)&gt;0,$B13,0)</f>
        <v>0</v>
      </c>
      <c r="P13" s="2">
        <f>IF(COUNTIF(Roster!$D13:$M13,P$1)&gt;0,$B13,0)</f>
        <v>0</v>
      </c>
      <c r="Q13" s="2">
        <f>IF(COUNTIF(Roster!$D13:$M13,Q$1)&gt;0,$B13,0)</f>
        <v>0</v>
      </c>
      <c r="R13" s="2">
        <f>IF(COUNTIF(Roster!$D13:$M13,R$1)&gt;0,$B13,0)</f>
        <v>0</v>
      </c>
      <c r="S13" s="2">
        <f>IF(COUNTIF(Roster!$D13:$M13,S$1)&gt;0,$B13,0)</f>
        <v>0</v>
      </c>
      <c r="T13" s="2">
        <f>IF(COUNTIF(Roster!$D13:$M13,T$1)&gt;0,$B13,0)</f>
        <v>1</v>
      </c>
      <c r="U13" s="2">
        <f>IF(COUNTIF(Roster!$D13:$M13,U$1)&gt;0,$B13,0)</f>
        <v>1</v>
      </c>
      <c r="V13" s="2">
        <f>IF(COUNTIF(Roster!$D13:$M13,V$1)&gt;0,$B13,0)</f>
        <v>0</v>
      </c>
      <c r="W13" s="2">
        <f>IF(COUNTIF(Roster!$D13:$M13,W$1)&gt;0,$B13,0)</f>
        <v>0</v>
      </c>
      <c r="X13" s="2">
        <f t="shared" si="0"/>
        <v>4</v>
      </c>
    </row>
    <row r="14" spans="1:24" ht="15" customHeight="1" x14ac:dyDescent="0.3">
      <c r="A14" s="2">
        <f>Roster!A14</f>
        <v>13</v>
      </c>
      <c r="B14" s="2">
        <f>Roster!C14</f>
        <v>1</v>
      </c>
      <c r="C14" s="2">
        <f>IF(COUNTIF(Roster!$D14:$M14,C$1)&gt;0,$B14,0)</f>
        <v>1</v>
      </c>
      <c r="D14" s="2">
        <f>IF(COUNTIF(Roster!$D14:$M14,D$1)&gt;0,$B14,0)</f>
        <v>1</v>
      </c>
      <c r="E14" s="2">
        <f>IF(COUNTIF(Roster!$D14:$M14,E$1)&gt;0,$B14,0)</f>
        <v>1</v>
      </c>
      <c r="F14" s="2">
        <f>IF(COUNTIF(Roster!$D14:$M14,F$1)&gt;0,$B14,0)</f>
        <v>1</v>
      </c>
      <c r="G14" s="2">
        <f>IF(COUNTIF(Roster!$D14:$M14,G$1)&gt;0,$B14,0)</f>
        <v>0</v>
      </c>
      <c r="H14" s="2">
        <f>IF(COUNTIF(Roster!$D14:$M14,H$1)&gt;0,$B14,0)</f>
        <v>0</v>
      </c>
      <c r="I14" s="2">
        <f>IF(COUNTIF(Roster!$D14:$M14,I$1)&gt;0,$B14,0)</f>
        <v>1</v>
      </c>
      <c r="J14" s="2">
        <f>IF(COUNTIF(Roster!$D14:$M14,J$1)&gt;0,$B14,0)</f>
        <v>0</v>
      </c>
      <c r="K14" s="2">
        <f>IF(COUNTIF(Roster!$D14:$M14,K$1)&gt;0,$B14,0)</f>
        <v>0</v>
      </c>
      <c r="L14" s="2">
        <f>IF(COUNTIF(Roster!$D14:$M14,L$1)&gt;0,$B14,0)</f>
        <v>0</v>
      </c>
      <c r="M14" s="2">
        <f>IF(COUNTIF(Roster!$D14:$M14,M$1)&gt;0,$B14,0)</f>
        <v>1</v>
      </c>
      <c r="N14" s="2">
        <f>IF(COUNTIF(Roster!$D14:$M14,N$1)&gt;0,$B14,0)</f>
        <v>0</v>
      </c>
      <c r="O14" s="2">
        <f>IF(COUNTIF(Roster!$D14:$M14,O$1)&gt;0,$B14,0)</f>
        <v>0</v>
      </c>
      <c r="P14" s="2">
        <f>IF(COUNTIF(Roster!$D14:$M14,P$1)&gt;0,$B14,0)</f>
        <v>0</v>
      </c>
      <c r="Q14" s="2">
        <f>IF(COUNTIF(Roster!$D14:$M14,Q$1)&gt;0,$B14,0)</f>
        <v>0</v>
      </c>
      <c r="R14" s="2">
        <f>IF(COUNTIF(Roster!$D14:$M14,R$1)&gt;0,$B14,0)</f>
        <v>1</v>
      </c>
      <c r="S14" s="2">
        <f>IF(COUNTIF(Roster!$D14:$M14,S$1)&gt;0,$B14,0)</f>
        <v>0</v>
      </c>
      <c r="T14" s="2">
        <f>IF(COUNTIF(Roster!$D14:$M14,T$1)&gt;0,$B14,0)</f>
        <v>0</v>
      </c>
      <c r="U14" s="2">
        <f>IF(COUNTIF(Roster!$D14:$M14,U$1)&gt;0,$B14,0)</f>
        <v>0</v>
      </c>
      <c r="V14" s="2">
        <f>IF(COUNTIF(Roster!$D14:$M14,V$1)&gt;0,$B14,0)</f>
        <v>1</v>
      </c>
      <c r="W14" s="2">
        <f>IF(COUNTIF(Roster!$D14:$M14,W$1)&gt;0,$B14,0)</f>
        <v>0</v>
      </c>
      <c r="X14" s="2">
        <f t="shared" si="0"/>
        <v>4</v>
      </c>
    </row>
    <row r="15" spans="1:24" ht="15" customHeight="1" x14ac:dyDescent="0.3">
      <c r="A15" s="2">
        <f>Roster!A15</f>
        <v>14</v>
      </c>
      <c r="B15" s="2">
        <f>Roster!C15</f>
        <v>1</v>
      </c>
      <c r="C15" s="2">
        <f>IF(COUNTIF(Roster!$D15:$M15,C$1)&gt;0,$B15,0)</f>
        <v>1</v>
      </c>
      <c r="D15" s="2">
        <f>IF(COUNTIF(Roster!$D15:$M15,D$1)&gt;0,$B15,0)</f>
        <v>1</v>
      </c>
      <c r="E15" s="2">
        <f>IF(COUNTIF(Roster!$D15:$M15,E$1)&gt;0,$B15,0)</f>
        <v>1</v>
      </c>
      <c r="F15" s="2">
        <f>IF(COUNTIF(Roster!$D15:$M15,F$1)&gt;0,$B15,0)</f>
        <v>1</v>
      </c>
      <c r="G15" s="2">
        <f>IF(COUNTIF(Roster!$D15:$M15,G$1)&gt;0,$B15,0)</f>
        <v>0</v>
      </c>
      <c r="H15" s="2">
        <f>IF(COUNTIF(Roster!$D15:$M15,H$1)&gt;0,$B15,0)</f>
        <v>1</v>
      </c>
      <c r="I15" s="2">
        <f>IF(COUNTIF(Roster!$D15:$M15,I$1)&gt;0,$B15,0)</f>
        <v>1</v>
      </c>
      <c r="J15" s="2">
        <f>IF(COUNTIF(Roster!$D15:$M15,J$1)&gt;0,$B15,0)</f>
        <v>1</v>
      </c>
      <c r="K15" s="2">
        <f>IF(COUNTIF(Roster!$D15:$M15,K$1)&gt;0,$B15,0)</f>
        <v>0</v>
      </c>
      <c r="L15" s="2">
        <f>IF(COUNTIF(Roster!$D15:$M15,L$1)&gt;0,$B15,0)</f>
        <v>0</v>
      </c>
      <c r="M15" s="2">
        <f>IF(COUNTIF(Roster!$D15:$M15,M$1)&gt;0,$B15,0)</f>
        <v>0</v>
      </c>
      <c r="N15" s="2">
        <f>IF(COUNTIF(Roster!$D15:$M15,N$1)&gt;0,$B15,0)</f>
        <v>0</v>
      </c>
      <c r="O15" s="2">
        <f>IF(COUNTIF(Roster!$D15:$M15,O$1)&gt;0,$B15,0)</f>
        <v>0</v>
      </c>
      <c r="P15" s="2">
        <f>IF(COUNTIF(Roster!$D15:$M15,P$1)&gt;0,$B15,0)</f>
        <v>0</v>
      </c>
      <c r="Q15" s="2">
        <f>IF(COUNTIF(Roster!$D15:$M15,Q$1)&gt;0,$B15,0)</f>
        <v>1</v>
      </c>
      <c r="R15" s="2">
        <f>IF(COUNTIF(Roster!$D15:$M15,R$1)&gt;0,$B15,0)</f>
        <v>0</v>
      </c>
      <c r="S15" s="2">
        <f>IF(COUNTIF(Roster!$D15:$M15,S$1)&gt;0,$B15,0)</f>
        <v>0</v>
      </c>
      <c r="T15" s="2">
        <f>IF(COUNTIF(Roster!$D15:$M15,T$1)&gt;0,$B15,0)</f>
        <v>0</v>
      </c>
      <c r="U15" s="2">
        <f>IF(COUNTIF(Roster!$D15:$M15,U$1)&gt;0,$B15,0)</f>
        <v>1</v>
      </c>
      <c r="V15" s="2">
        <f>IF(COUNTIF(Roster!$D15:$M15,V$1)&gt;0,$B15,0)</f>
        <v>0</v>
      </c>
      <c r="W15" s="2">
        <f>IF(COUNTIF(Roster!$D15:$M15,W$1)&gt;0,$B15,0)</f>
        <v>0</v>
      </c>
      <c r="X15" s="2">
        <f t="shared" si="0"/>
        <v>5</v>
      </c>
    </row>
    <row r="16" spans="1:24" ht="15" customHeight="1" x14ac:dyDescent="0.3">
      <c r="A16" s="2">
        <f>Roster!A16</f>
        <v>15</v>
      </c>
      <c r="B16" s="2">
        <f>Roster!C16</f>
        <v>1</v>
      </c>
      <c r="C16" s="2">
        <f>IF(COUNTIF(Roster!$D16:$M16,C$1)&gt;0,$B16,0)</f>
        <v>1</v>
      </c>
      <c r="D16" s="2">
        <f>IF(COUNTIF(Roster!$D16:$M16,D$1)&gt;0,$B16,0)</f>
        <v>1</v>
      </c>
      <c r="E16" s="2">
        <f>IF(COUNTIF(Roster!$D16:$M16,E$1)&gt;0,$B16,0)</f>
        <v>1</v>
      </c>
      <c r="F16" s="2">
        <f>IF(COUNTIF(Roster!$D16:$M16,F$1)&gt;0,$B16,0)</f>
        <v>1</v>
      </c>
      <c r="G16" s="2">
        <f>IF(COUNTIF(Roster!$D16:$M16,G$1)&gt;0,$B16,0)</f>
        <v>0</v>
      </c>
      <c r="H16" s="2">
        <f>IF(COUNTIF(Roster!$D16:$M16,H$1)&gt;0,$B16,0)</f>
        <v>0</v>
      </c>
      <c r="I16" s="2">
        <f>IF(COUNTIF(Roster!$D16:$M16,I$1)&gt;0,$B16,0)</f>
        <v>1</v>
      </c>
      <c r="J16" s="2">
        <f>IF(COUNTIF(Roster!$D16:$M16,J$1)&gt;0,$B16,0)</f>
        <v>1</v>
      </c>
      <c r="K16" s="2">
        <f>IF(COUNTIF(Roster!$D16:$M16,K$1)&gt;0,$B16,0)</f>
        <v>0</v>
      </c>
      <c r="L16" s="2">
        <f>IF(COUNTIF(Roster!$D16:$M16,L$1)&gt;0,$B16,0)</f>
        <v>0</v>
      </c>
      <c r="M16" s="2">
        <f>IF(COUNTIF(Roster!$D16:$M16,M$1)&gt;0,$B16,0)</f>
        <v>0</v>
      </c>
      <c r="N16" s="2">
        <f>IF(COUNTIF(Roster!$D16:$M16,N$1)&gt;0,$B16,0)</f>
        <v>0</v>
      </c>
      <c r="O16" s="2">
        <f>IF(COUNTIF(Roster!$D16:$M16,O$1)&gt;0,$B16,0)</f>
        <v>0</v>
      </c>
      <c r="P16" s="2">
        <f>IF(COUNTIF(Roster!$D16:$M16,P$1)&gt;0,$B16,0)</f>
        <v>0</v>
      </c>
      <c r="Q16" s="2">
        <f>IF(COUNTIF(Roster!$D16:$M16,Q$1)&gt;0,$B16,0)</f>
        <v>1</v>
      </c>
      <c r="R16" s="2">
        <f>IF(COUNTIF(Roster!$D16:$M16,R$1)&gt;0,$B16,0)</f>
        <v>0</v>
      </c>
      <c r="S16" s="2">
        <f>IF(COUNTIF(Roster!$D16:$M16,S$1)&gt;0,$B16,0)</f>
        <v>0</v>
      </c>
      <c r="T16" s="2">
        <f>IF(COUNTIF(Roster!$D16:$M16,T$1)&gt;0,$B16,0)</f>
        <v>0</v>
      </c>
      <c r="U16" s="2">
        <f>IF(COUNTIF(Roster!$D16:$M16,U$1)&gt;0,$B16,0)</f>
        <v>1</v>
      </c>
      <c r="V16" s="2">
        <f>IF(COUNTIF(Roster!$D16:$M16,V$1)&gt;0,$B16,0)</f>
        <v>0</v>
      </c>
      <c r="W16" s="2">
        <f>IF(COUNTIF(Roster!$D16:$M16,W$1)&gt;0,$B16,0)</f>
        <v>0</v>
      </c>
      <c r="X16" s="2">
        <f t="shared" si="0"/>
        <v>4</v>
      </c>
    </row>
    <row r="17" spans="1:24" ht="15" customHeight="1" x14ac:dyDescent="0.3">
      <c r="A17" s="2">
        <f>Roster!A17</f>
        <v>16</v>
      </c>
      <c r="B17" s="2">
        <f>Roster!C17</f>
        <v>1</v>
      </c>
      <c r="C17" s="2">
        <f>IF(COUNTIF(Roster!$D17:$M17,C$1)&gt;0,$B17,0)</f>
        <v>1</v>
      </c>
      <c r="D17" s="2">
        <f>IF(COUNTIF(Roster!$D17:$M17,D$1)&gt;0,$B17,0)</f>
        <v>1</v>
      </c>
      <c r="E17" s="2">
        <f>IF(COUNTIF(Roster!$D17:$M17,E$1)&gt;0,$B17,0)</f>
        <v>1</v>
      </c>
      <c r="F17" s="2">
        <f>IF(COUNTIF(Roster!$D17:$M17,F$1)&gt;0,$B17,0)</f>
        <v>0</v>
      </c>
      <c r="G17" s="2">
        <f>IF(COUNTIF(Roster!$D17:$M17,G$1)&gt;0,$B17,0)</f>
        <v>1</v>
      </c>
      <c r="H17" s="2">
        <f>IF(COUNTIF(Roster!$D17:$M17,H$1)&gt;0,$B17,0)</f>
        <v>0</v>
      </c>
      <c r="I17" s="2">
        <f>IF(COUNTIF(Roster!$D17:$M17,I$1)&gt;0,$B17,0)</f>
        <v>0</v>
      </c>
      <c r="J17" s="2">
        <f>IF(COUNTIF(Roster!$D17:$M17,J$1)&gt;0,$B17,0)</f>
        <v>1</v>
      </c>
      <c r="K17" s="2">
        <f>IF(COUNTIF(Roster!$D17:$M17,K$1)&gt;0,$B17,0)</f>
        <v>0</v>
      </c>
      <c r="L17" s="2">
        <f>IF(COUNTIF(Roster!$D17:$M17,L$1)&gt;0,$B17,0)</f>
        <v>0</v>
      </c>
      <c r="M17" s="2">
        <f>IF(COUNTIF(Roster!$D17:$M17,M$1)&gt;0,$B17,0)</f>
        <v>0</v>
      </c>
      <c r="N17" s="2">
        <f>IF(COUNTIF(Roster!$D17:$M17,N$1)&gt;0,$B17,0)</f>
        <v>0</v>
      </c>
      <c r="O17" s="2">
        <f>IF(COUNTIF(Roster!$D17:$M17,O$1)&gt;0,$B17,0)</f>
        <v>0</v>
      </c>
      <c r="P17" s="2">
        <f>IF(COUNTIF(Roster!$D17:$M17,P$1)&gt;0,$B17,0)</f>
        <v>1</v>
      </c>
      <c r="Q17" s="2">
        <f>IF(COUNTIF(Roster!$D17:$M17,Q$1)&gt;0,$B17,0)</f>
        <v>0</v>
      </c>
      <c r="R17" s="2">
        <f>IF(COUNTIF(Roster!$D17:$M17,R$1)&gt;0,$B17,0)</f>
        <v>0</v>
      </c>
      <c r="S17" s="2">
        <f>IF(COUNTIF(Roster!$D17:$M17,S$1)&gt;0,$B17,0)</f>
        <v>1</v>
      </c>
      <c r="T17" s="2">
        <f>IF(COUNTIF(Roster!$D17:$M17,T$1)&gt;0,$B17,0)</f>
        <v>0</v>
      </c>
      <c r="U17" s="2">
        <f>IF(COUNTIF(Roster!$D17:$M17,U$1)&gt;0,$B17,0)</f>
        <v>0</v>
      </c>
      <c r="V17" s="2">
        <f>IF(COUNTIF(Roster!$D17:$M17,V$1)&gt;0,$B17,0)</f>
        <v>0</v>
      </c>
      <c r="W17" s="2">
        <f>IF(COUNTIF(Roster!$D17:$M17,W$1)&gt;0,$B17,0)</f>
        <v>1</v>
      </c>
      <c r="X17" s="2">
        <f t="shared" si="0"/>
        <v>4</v>
      </c>
    </row>
    <row r="18" spans="1:24" ht="15" customHeight="1" x14ac:dyDescent="0.3">
      <c r="A18" s="2">
        <f>Roster!A18</f>
        <v>17</v>
      </c>
      <c r="B18" s="2">
        <f>Roster!C18</f>
        <v>1</v>
      </c>
      <c r="C18" s="2">
        <f>IF(COUNTIF(Roster!$D18:$M18,C$1)&gt;0,$B18,0)</f>
        <v>1</v>
      </c>
      <c r="D18" s="2">
        <f>IF(COUNTIF(Roster!$D18:$M18,D$1)&gt;0,$B18,0)</f>
        <v>1</v>
      </c>
      <c r="E18" s="2">
        <f>IF(COUNTIF(Roster!$D18:$M18,E$1)&gt;0,$B18,0)</f>
        <v>1</v>
      </c>
      <c r="F18" s="2">
        <f>IF(COUNTIF(Roster!$D18:$M18,F$1)&gt;0,$B18,0)</f>
        <v>1</v>
      </c>
      <c r="G18" s="2">
        <f>IF(COUNTIF(Roster!$D18:$M18,G$1)&gt;0,$B18,0)</f>
        <v>0</v>
      </c>
      <c r="H18" s="2">
        <f>IF(COUNTIF(Roster!$D18:$M18,H$1)&gt;0,$B18,0)</f>
        <v>1</v>
      </c>
      <c r="I18" s="2">
        <f>IF(COUNTIF(Roster!$D18:$M18,I$1)&gt;0,$B18,0)</f>
        <v>1</v>
      </c>
      <c r="J18" s="2">
        <f>IF(COUNTIF(Roster!$D18:$M18,J$1)&gt;0,$B18,0)</f>
        <v>1</v>
      </c>
      <c r="K18" s="2">
        <f>IF(COUNTIF(Roster!$D18:$M18,K$1)&gt;0,$B18,0)</f>
        <v>0</v>
      </c>
      <c r="L18" s="2">
        <f>IF(COUNTIF(Roster!$D18:$M18,L$1)&gt;0,$B18,0)</f>
        <v>0</v>
      </c>
      <c r="M18" s="2">
        <f>IF(COUNTIF(Roster!$D18:$M18,M$1)&gt;0,$B18,0)</f>
        <v>0</v>
      </c>
      <c r="N18" s="2">
        <f>IF(COUNTIF(Roster!$D18:$M18,N$1)&gt;0,$B18,0)</f>
        <v>0</v>
      </c>
      <c r="O18" s="2">
        <f>IF(COUNTIF(Roster!$D18:$M18,O$1)&gt;0,$B18,0)</f>
        <v>0</v>
      </c>
      <c r="P18" s="2">
        <f>IF(COUNTIF(Roster!$D18:$M18,P$1)&gt;0,$B18,0)</f>
        <v>0</v>
      </c>
      <c r="Q18" s="2">
        <f>IF(COUNTIF(Roster!$D18:$M18,Q$1)&gt;0,$B18,0)</f>
        <v>0</v>
      </c>
      <c r="R18" s="2">
        <f>IF(COUNTIF(Roster!$D18:$M18,R$1)&gt;0,$B18,0)</f>
        <v>0</v>
      </c>
      <c r="S18" s="2">
        <f>IF(COUNTIF(Roster!$D18:$M18,S$1)&gt;0,$B18,0)</f>
        <v>0</v>
      </c>
      <c r="T18" s="2">
        <f>IF(COUNTIF(Roster!$D18:$M18,T$1)&gt;0,$B18,0)</f>
        <v>0</v>
      </c>
      <c r="U18" s="2">
        <f>IF(COUNTIF(Roster!$D18:$M18,U$1)&gt;0,$B18,0)</f>
        <v>1</v>
      </c>
      <c r="V18" s="2">
        <f>IF(COUNTIF(Roster!$D18:$M18,V$1)&gt;0,$B18,0)</f>
        <v>0</v>
      </c>
      <c r="W18" s="2">
        <f>IF(COUNTIF(Roster!$D18:$M18,W$1)&gt;0,$B18,0)</f>
        <v>0</v>
      </c>
      <c r="X18" s="2">
        <f t="shared" si="0"/>
        <v>4</v>
      </c>
    </row>
    <row r="19" spans="1:24" ht="15" customHeight="1" x14ac:dyDescent="0.3">
      <c r="A19" s="2">
        <f>Roster!A19</f>
        <v>18</v>
      </c>
      <c r="B19" s="2">
        <f>Roster!C19</f>
        <v>1</v>
      </c>
      <c r="C19" s="2">
        <f>IF(COUNTIF(Roster!$D19:$M19,C$1)&gt;0,$B19,0)</f>
        <v>1</v>
      </c>
      <c r="D19" s="2">
        <f>IF(COUNTIF(Roster!$D19:$M19,D$1)&gt;0,$B19,0)</f>
        <v>1</v>
      </c>
      <c r="E19" s="2">
        <f>IF(COUNTIF(Roster!$D19:$M19,E$1)&gt;0,$B19,0)</f>
        <v>1</v>
      </c>
      <c r="F19" s="2">
        <f>IF(COUNTIF(Roster!$D19:$M19,F$1)&gt;0,$B19,0)</f>
        <v>0</v>
      </c>
      <c r="G19" s="2">
        <f>IF(COUNTIF(Roster!$D19:$M19,G$1)&gt;0,$B19,0)</f>
        <v>1</v>
      </c>
      <c r="H19" s="2">
        <f>IF(COUNTIF(Roster!$D19:$M19,H$1)&gt;0,$B19,0)</f>
        <v>0</v>
      </c>
      <c r="I19" s="2">
        <f>IF(COUNTIF(Roster!$D19:$M19,I$1)&gt;0,$B19,0)</f>
        <v>1</v>
      </c>
      <c r="J19" s="2">
        <f>IF(COUNTIF(Roster!$D19:$M19,J$1)&gt;0,$B19,0)</f>
        <v>1</v>
      </c>
      <c r="K19" s="2">
        <f>IF(COUNTIF(Roster!$D19:$M19,K$1)&gt;0,$B19,0)</f>
        <v>0</v>
      </c>
      <c r="L19" s="2">
        <f>IF(COUNTIF(Roster!$D19:$M19,L$1)&gt;0,$B19,0)</f>
        <v>1</v>
      </c>
      <c r="M19" s="2">
        <f>IF(COUNTIF(Roster!$D19:$M19,M$1)&gt;0,$B19,0)</f>
        <v>0</v>
      </c>
      <c r="N19" s="2">
        <f>IF(COUNTIF(Roster!$D19:$M19,N$1)&gt;0,$B19,0)</f>
        <v>0</v>
      </c>
      <c r="O19" s="2">
        <f>IF(COUNTIF(Roster!$D19:$M19,O$1)&gt;0,$B19,0)</f>
        <v>0</v>
      </c>
      <c r="P19" s="2">
        <f>IF(COUNTIF(Roster!$D19:$M19,P$1)&gt;0,$B19,0)</f>
        <v>0</v>
      </c>
      <c r="Q19" s="2">
        <f>IF(COUNTIF(Roster!$D19:$M19,Q$1)&gt;0,$B19,0)</f>
        <v>0</v>
      </c>
      <c r="R19" s="2">
        <f>IF(COUNTIF(Roster!$D19:$M19,R$1)&gt;0,$B19,0)</f>
        <v>0</v>
      </c>
      <c r="S19" s="2">
        <f>IF(COUNTIF(Roster!$D19:$M19,S$1)&gt;0,$B19,0)</f>
        <v>1</v>
      </c>
      <c r="T19" s="2">
        <f>IF(COUNTIF(Roster!$D19:$M19,T$1)&gt;0,$B19,0)</f>
        <v>0</v>
      </c>
      <c r="U19" s="2">
        <f>IF(COUNTIF(Roster!$D19:$M19,U$1)&gt;0,$B19,0)</f>
        <v>0</v>
      </c>
      <c r="V19" s="2">
        <f>IF(COUNTIF(Roster!$D19:$M19,V$1)&gt;0,$B19,0)</f>
        <v>0</v>
      </c>
      <c r="W19" s="2">
        <f>IF(COUNTIF(Roster!$D19:$M19,W$1)&gt;0,$B19,0)</f>
        <v>0</v>
      </c>
      <c r="X19" s="2">
        <f t="shared" si="0"/>
        <v>4</v>
      </c>
    </row>
    <row r="20" spans="1:24" ht="15" customHeight="1" x14ac:dyDescent="0.3">
      <c r="A20" s="2">
        <f>Roster!A20</f>
        <v>19</v>
      </c>
      <c r="B20" s="2">
        <f>Roster!C20</f>
        <v>1</v>
      </c>
      <c r="C20" s="2">
        <f>IF(COUNTIF(Roster!$D20:$M20,C$1)&gt;0,$B20,0)</f>
        <v>1</v>
      </c>
      <c r="D20" s="2">
        <f>IF(COUNTIF(Roster!$D20:$M20,D$1)&gt;0,$B20,0)</f>
        <v>1</v>
      </c>
      <c r="E20" s="2">
        <f>IF(COUNTIF(Roster!$D20:$M20,E$1)&gt;0,$B20,0)</f>
        <v>1</v>
      </c>
      <c r="F20" s="2">
        <f>IF(COUNTIF(Roster!$D20:$M20,F$1)&gt;0,$B20,0)</f>
        <v>0</v>
      </c>
      <c r="G20" s="2">
        <f>IF(COUNTIF(Roster!$D20:$M20,G$1)&gt;0,$B20,0)</f>
        <v>1</v>
      </c>
      <c r="H20" s="2">
        <f>IF(COUNTIF(Roster!$D20:$M20,H$1)&gt;0,$B20,0)</f>
        <v>0</v>
      </c>
      <c r="I20" s="2">
        <f>IF(COUNTIF(Roster!$D20:$M20,I$1)&gt;0,$B20,0)</f>
        <v>1</v>
      </c>
      <c r="J20" s="2">
        <f>IF(COUNTIF(Roster!$D20:$M20,J$1)&gt;0,$B20,0)</f>
        <v>0</v>
      </c>
      <c r="K20" s="2">
        <f>IF(COUNTIF(Roster!$D20:$M20,K$1)&gt;0,$B20,0)</f>
        <v>1</v>
      </c>
      <c r="L20" s="2">
        <f>IF(COUNTIF(Roster!$D20:$M20,L$1)&gt;0,$B20,0)</f>
        <v>0</v>
      </c>
      <c r="M20" s="2">
        <f>IF(COUNTIF(Roster!$D20:$M20,M$1)&gt;0,$B20,0)</f>
        <v>0</v>
      </c>
      <c r="N20" s="2">
        <f>IF(COUNTIF(Roster!$D20:$M20,N$1)&gt;0,$B20,0)</f>
        <v>0</v>
      </c>
      <c r="O20" s="2">
        <f>IF(COUNTIF(Roster!$D20:$M20,O$1)&gt;0,$B20,0)</f>
        <v>0</v>
      </c>
      <c r="P20" s="2">
        <f>IF(COUNTIF(Roster!$D20:$M20,P$1)&gt;0,$B20,0)</f>
        <v>1</v>
      </c>
      <c r="Q20" s="2">
        <f>IF(COUNTIF(Roster!$D20:$M20,Q$1)&gt;0,$B20,0)</f>
        <v>0</v>
      </c>
      <c r="R20" s="2">
        <f>IF(COUNTIF(Roster!$D20:$M20,R$1)&gt;0,$B20,0)</f>
        <v>0</v>
      </c>
      <c r="S20" s="2">
        <f>IF(COUNTIF(Roster!$D20:$M20,S$1)&gt;0,$B20,0)</f>
        <v>0</v>
      </c>
      <c r="T20" s="2">
        <f>IF(COUNTIF(Roster!$D20:$M20,T$1)&gt;0,$B20,0)</f>
        <v>0</v>
      </c>
      <c r="U20" s="2">
        <f>IF(COUNTIF(Roster!$D20:$M20,U$1)&gt;0,$B20,0)</f>
        <v>0</v>
      </c>
      <c r="V20" s="2">
        <f>IF(COUNTIF(Roster!$D20:$M20,V$1)&gt;0,$B20,0)</f>
        <v>1</v>
      </c>
      <c r="W20" s="2">
        <f>IF(COUNTIF(Roster!$D20:$M20,W$1)&gt;0,$B20,0)</f>
        <v>0</v>
      </c>
      <c r="X20" s="2">
        <f t="shared" si="0"/>
        <v>4</v>
      </c>
    </row>
    <row r="21" spans="1:24" ht="15" customHeight="1" x14ac:dyDescent="0.3">
      <c r="A21" s="2">
        <f>Roster!A21</f>
        <v>20</v>
      </c>
      <c r="B21" s="2">
        <f>Roster!C21</f>
        <v>1</v>
      </c>
      <c r="C21" s="2">
        <f>IF(COUNTIF(Roster!$D21:$M21,C$1)&gt;0,$B21,0)</f>
        <v>1</v>
      </c>
      <c r="D21" s="2">
        <f>IF(COUNTIF(Roster!$D21:$M21,D$1)&gt;0,$B21,0)</f>
        <v>1</v>
      </c>
      <c r="E21" s="2">
        <f>IF(COUNTIF(Roster!$D21:$M21,E$1)&gt;0,$B21,0)</f>
        <v>1</v>
      </c>
      <c r="F21" s="2">
        <f>IF(COUNTIF(Roster!$D21:$M21,F$1)&gt;0,$B21,0)</f>
        <v>0</v>
      </c>
      <c r="G21" s="2">
        <f>IF(COUNTIF(Roster!$D21:$M21,G$1)&gt;0,$B21,0)</f>
        <v>1</v>
      </c>
      <c r="H21" s="2">
        <f>IF(COUNTIF(Roster!$D21:$M21,H$1)&gt;0,$B21,0)</f>
        <v>0</v>
      </c>
      <c r="I21" s="2">
        <f>IF(COUNTIF(Roster!$D21:$M21,I$1)&gt;0,$B21,0)</f>
        <v>1</v>
      </c>
      <c r="J21" s="2">
        <f>IF(COUNTIF(Roster!$D21:$M21,J$1)&gt;0,$B21,0)</f>
        <v>1</v>
      </c>
      <c r="K21" s="2">
        <f>IF(COUNTIF(Roster!$D21:$M21,K$1)&gt;0,$B21,0)</f>
        <v>0</v>
      </c>
      <c r="L21" s="2">
        <f>IF(COUNTIF(Roster!$D21:$M21,L$1)&gt;0,$B21,0)</f>
        <v>1</v>
      </c>
      <c r="M21" s="2">
        <f>IF(COUNTIF(Roster!$D21:$M21,M$1)&gt;0,$B21,0)</f>
        <v>0</v>
      </c>
      <c r="N21" s="2">
        <f>IF(COUNTIF(Roster!$D21:$M21,N$1)&gt;0,$B21,0)</f>
        <v>0</v>
      </c>
      <c r="O21" s="2">
        <f>IF(COUNTIF(Roster!$D21:$M21,O$1)&gt;0,$B21,0)</f>
        <v>0</v>
      </c>
      <c r="P21" s="2">
        <f>IF(COUNTIF(Roster!$D21:$M21,P$1)&gt;0,$B21,0)</f>
        <v>1</v>
      </c>
      <c r="Q21" s="2">
        <f>IF(COUNTIF(Roster!$D21:$M21,Q$1)&gt;0,$B21,0)</f>
        <v>0</v>
      </c>
      <c r="R21" s="2">
        <f>IF(COUNTIF(Roster!$D21:$M21,R$1)&gt;0,$B21,0)</f>
        <v>0</v>
      </c>
      <c r="S21" s="2">
        <f>IF(COUNTIF(Roster!$D21:$M21,S$1)&gt;0,$B21,0)</f>
        <v>0</v>
      </c>
      <c r="T21" s="2">
        <f>IF(COUNTIF(Roster!$D21:$M21,T$1)&gt;0,$B21,0)</f>
        <v>0</v>
      </c>
      <c r="U21" s="2">
        <f>IF(COUNTIF(Roster!$D21:$M21,U$1)&gt;0,$B21,0)</f>
        <v>0</v>
      </c>
      <c r="V21" s="2">
        <f>IF(COUNTIF(Roster!$D21:$M21,V$1)&gt;0,$B21,0)</f>
        <v>0</v>
      </c>
      <c r="W21" s="2">
        <f>IF(COUNTIF(Roster!$D21:$M21,W$1)&gt;0,$B21,0)</f>
        <v>0</v>
      </c>
      <c r="X21" s="2">
        <f t="shared" si="0"/>
        <v>4</v>
      </c>
    </row>
    <row r="22" spans="1:24" ht="15" customHeight="1" x14ac:dyDescent="0.3">
      <c r="A22" s="2">
        <f>Roster!A22</f>
        <v>21</v>
      </c>
      <c r="B22" s="2">
        <f>Roster!C22</f>
        <v>1</v>
      </c>
      <c r="C22" s="2">
        <f>IF(COUNTIF(Roster!$D22:$M22,C$1)&gt;0,$B22,0)</f>
        <v>1</v>
      </c>
      <c r="D22" s="2">
        <f>IF(COUNTIF(Roster!$D22:$M22,D$1)&gt;0,$B22,0)</f>
        <v>1</v>
      </c>
      <c r="E22" s="2">
        <f>IF(COUNTIF(Roster!$D22:$M22,E$1)&gt;0,$B22,0)</f>
        <v>1</v>
      </c>
      <c r="F22" s="2">
        <f>IF(COUNTIF(Roster!$D22:$M22,F$1)&gt;0,$B22,0)</f>
        <v>0</v>
      </c>
      <c r="G22" s="2">
        <f>IF(COUNTIF(Roster!$D22:$M22,G$1)&gt;0,$B22,0)</f>
        <v>1</v>
      </c>
      <c r="H22" s="2">
        <f>IF(COUNTIF(Roster!$D22:$M22,H$1)&gt;0,$B22,0)</f>
        <v>0</v>
      </c>
      <c r="I22" s="2">
        <f>IF(COUNTIF(Roster!$D22:$M22,I$1)&gt;0,$B22,0)</f>
        <v>0</v>
      </c>
      <c r="J22" s="2">
        <f>IF(COUNTIF(Roster!$D22:$M22,J$1)&gt;0,$B22,0)</f>
        <v>1</v>
      </c>
      <c r="K22" s="2">
        <f>IF(COUNTIF(Roster!$D22:$M22,K$1)&gt;0,$B22,0)</f>
        <v>0</v>
      </c>
      <c r="L22" s="2">
        <f>IF(COUNTIF(Roster!$D22:$M22,L$1)&gt;0,$B22,0)</f>
        <v>1</v>
      </c>
      <c r="M22" s="2">
        <f>IF(COUNTIF(Roster!$D22:$M22,M$1)&gt;0,$B22,0)</f>
        <v>0</v>
      </c>
      <c r="N22" s="2">
        <f>IF(COUNTIF(Roster!$D22:$M22,N$1)&gt;0,$B22,0)</f>
        <v>0</v>
      </c>
      <c r="O22" s="2">
        <f>IF(COUNTIF(Roster!$D22:$M22,O$1)&gt;0,$B22,0)</f>
        <v>0</v>
      </c>
      <c r="P22" s="2">
        <f>IF(COUNTIF(Roster!$D22:$M22,P$1)&gt;0,$B22,0)</f>
        <v>0</v>
      </c>
      <c r="Q22" s="2">
        <f>IF(COUNTIF(Roster!$D22:$M22,Q$1)&gt;0,$B22,0)</f>
        <v>1</v>
      </c>
      <c r="R22" s="2">
        <f>IF(COUNTIF(Roster!$D22:$M22,R$1)&gt;0,$B22,0)</f>
        <v>0</v>
      </c>
      <c r="S22" s="2">
        <f>IF(COUNTIF(Roster!$D22:$M22,S$1)&gt;0,$B22,0)</f>
        <v>0</v>
      </c>
      <c r="T22" s="2">
        <f>IF(COUNTIF(Roster!$D22:$M22,T$1)&gt;0,$B22,0)</f>
        <v>0</v>
      </c>
      <c r="U22" s="2">
        <f>IF(COUNTIF(Roster!$D22:$M22,U$1)&gt;0,$B22,0)</f>
        <v>0</v>
      </c>
      <c r="V22" s="2">
        <f>IF(COUNTIF(Roster!$D22:$M22,V$1)&gt;0,$B22,0)</f>
        <v>0</v>
      </c>
      <c r="W22" s="2">
        <f>IF(COUNTIF(Roster!$D22:$M22,W$1)&gt;0,$B22,0)</f>
        <v>1</v>
      </c>
      <c r="X22" s="2">
        <f t="shared" si="0"/>
        <v>4</v>
      </c>
    </row>
    <row r="23" spans="1:24" ht="15" customHeight="1" x14ac:dyDescent="0.3">
      <c r="A23" s="2">
        <f>Roster!A23</f>
        <v>22</v>
      </c>
      <c r="B23" s="2">
        <f>Roster!C23</f>
        <v>1</v>
      </c>
      <c r="C23" s="2">
        <f>IF(COUNTIF(Roster!$D23:$M23,C$1)&gt;0,$B23,0)</f>
        <v>1</v>
      </c>
      <c r="D23" s="2">
        <f>IF(COUNTIF(Roster!$D23:$M23,D$1)&gt;0,$B23,0)</f>
        <v>1</v>
      </c>
      <c r="E23" s="2">
        <f>IF(COUNTIF(Roster!$D23:$M23,E$1)&gt;0,$B23,0)</f>
        <v>1</v>
      </c>
      <c r="F23" s="2">
        <f>IF(COUNTIF(Roster!$D23:$M23,F$1)&gt;0,$B23,0)</f>
        <v>1</v>
      </c>
      <c r="G23" s="2">
        <f>IF(COUNTIF(Roster!$D23:$M23,G$1)&gt;0,$B23,0)</f>
        <v>0</v>
      </c>
      <c r="H23" s="2">
        <f>IF(COUNTIF(Roster!$D23:$M23,H$1)&gt;0,$B23,0)</f>
        <v>0</v>
      </c>
      <c r="I23" s="2">
        <f>IF(COUNTIF(Roster!$D23:$M23,I$1)&gt;0,$B23,0)</f>
        <v>1</v>
      </c>
      <c r="J23" s="2">
        <f>IF(COUNTIF(Roster!$D23:$M23,J$1)&gt;0,$B23,0)</f>
        <v>1</v>
      </c>
      <c r="K23" s="2">
        <f>IF(COUNTIF(Roster!$D23:$M23,K$1)&gt;0,$B23,0)</f>
        <v>1</v>
      </c>
      <c r="L23" s="2">
        <f>IF(COUNTIF(Roster!$D23:$M23,L$1)&gt;0,$B23,0)</f>
        <v>0</v>
      </c>
      <c r="M23" s="2">
        <f>IF(COUNTIF(Roster!$D23:$M23,M$1)&gt;0,$B23,0)</f>
        <v>0</v>
      </c>
      <c r="N23" s="2">
        <f>IF(COUNTIF(Roster!$D23:$M23,N$1)&gt;0,$B23,0)</f>
        <v>1</v>
      </c>
      <c r="O23" s="2">
        <f>IF(COUNTIF(Roster!$D23:$M23,O$1)&gt;0,$B23,0)</f>
        <v>0</v>
      </c>
      <c r="P23" s="2">
        <f>IF(COUNTIF(Roster!$D23:$M23,P$1)&gt;0,$B23,0)</f>
        <v>0</v>
      </c>
      <c r="Q23" s="2">
        <f>IF(COUNTIF(Roster!$D23:$M23,Q$1)&gt;0,$B23,0)</f>
        <v>0</v>
      </c>
      <c r="R23" s="2">
        <f>IF(COUNTIF(Roster!$D23:$M23,R$1)&gt;0,$B23,0)</f>
        <v>0</v>
      </c>
      <c r="S23" s="2">
        <f>IF(COUNTIF(Roster!$D23:$M23,S$1)&gt;0,$B23,0)</f>
        <v>0</v>
      </c>
      <c r="T23" s="2">
        <f>IF(COUNTIF(Roster!$D23:$M23,T$1)&gt;0,$B23,0)</f>
        <v>0</v>
      </c>
      <c r="U23" s="2">
        <f>IF(COUNTIF(Roster!$D23:$M23,U$1)&gt;0,$B23,0)</f>
        <v>1</v>
      </c>
      <c r="V23" s="2">
        <f>IF(COUNTIF(Roster!$D23:$M23,V$1)&gt;0,$B23,0)</f>
        <v>0</v>
      </c>
      <c r="W23" s="2">
        <f>IF(COUNTIF(Roster!$D23:$M23,W$1)&gt;0,$B23,0)</f>
        <v>0</v>
      </c>
      <c r="X23" s="2">
        <f t="shared" si="0"/>
        <v>5</v>
      </c>
    </row>
    <row r="24" spans="1:24" ht="15" customHeight="1" x14ac:dyDescent="0.3">
      <c r="A24" s="2">
        <f>Roster!A24</f>
        <v>23</v>
      </c>
      <c r="B24" s="2">
        <f>Roster!C24</f>
        <v>1</v>
      </c>
      <c r="C24" s="2">
        <f>IF(COUNTIF(Roster!$D24:$M24,C$1)&gt;0,$B24,0)</f>
        <v>1</v>
      </c>
      <c r="D24" s="2">
        <f>IF(COUNTIF(Roster!$D24:$M24,D$1)&gt;0,$B24,0)</f>
        <v>1</v>
      </c>
      <c r="E24" s="2">
        <f>IF(COUNTIF(Roster!$D24:$M24,E$1)&gt;0,$B24,0)</f>
        <v>1</v>
      </c>
      <c r="F24" s="2">
        <f>IF(COUNTIF(Roster!$D24:$M24,F$1)&gt;0,$B24,0)</f>
        <v>1</v>
      </c>
      <c r="G24" s="2">
        <f>IF(COUNTIF(Roster!$D24:$M24,G$1)&gt;0,$B24,0)</f>
        <v>0</v>
      </c>
      <c r="H24" s="2">
        <f>IF(COUNTIF(Roster!$D24:$M24,H$1)&gt;0,$B24,0)</f>
        <v>0</v>
      </c>
      <c r="I24" s="2">
        <f>IF(COUNTIF(Roster!$D24:$M24,I$1)&gt;0,$B24,0)</f>
        <v>1</v>
      </c>
      <c r="J24" s="2">
        <f>IF(COUNTIF(Roster!$D24:$M24,J$1)&gt;0,$B24,0)</f>
        <v>0</v>
      </c>
      <c r="K24" s="2">
        <f>IF(COUNTIF(Roster!$D24:$M24,K$1)&gt;0,$B24,0)</f>
        <v>0</v>
      </c>
      <c r="L24" s="2">
        <f>IF(COUNTIF(Roster!$D24:$M24,L$1)&gt;0,$B24,0)</f>
        <v>0</v>
      </c>
      <c r="M24" s="2">
        <f>IF(COUNTIF(Roster!$D24:$M24,M$1)&gt;0,$B24,0)</f>
        <v>1</v>
      </c>
      <c r="N24" s="2">
        <f>IF(COUNTIF(Roster!$D24:$M24,N$1)&gt;0,$B24,0)</f>
        <v>0</v>
      </c>
      <c r="O24" s="2">
        <f>IF(COUNTIF(Roster!$D24:$M24,O$1)&gt;0,$B24,0)</f>
        <v>0</v>
      </c>
      <c r="P24" s="2">
        <f>IF(COUNTIF(Roster!$D24:$M24,P$1)&gt;0,$B24,0)</f>
        <v>0</v>
      </c>
      <c r="Q24" s="2">
        <f>IF(COUNTIF(Roster!$D24:$M24,Q$1)&gt;0,$B24,0)</f>
        <v>0</v>
      </c>
      <c r="R24" s="2">
        <f>IF(COUNTIF(Roster!$D24:$M24,R$1)&gt;0,$B24,0)</f>
        <v>1</v>
      </c>
      <c r="S24" s="2">
        <f>IF(COUNTIF(Roster!$D24:$M24,S$1)&gt;0,$B24,0)</f>
        <v>0</v>
      </c>
      <c r="T24" s="2">
        <f>IF(COUNTIF(Roster!$D24:$M24,T$1)&gt;0,$B24,0)</f>
        <v>0</v>
      </c>
      <c r="U24" s="2">
        <f>IF(COUNTIF(Roster!$D24:$M24,U$1)&gt;0,$B24,0)</f>
        <v>1</v>
      </c>
      <c r="V24" s="2">
        <f>IF(COUNTIF(Roster!$D24:$M24,V$1)&gt;0,$B24,0)</f>
        <v>0</v>
      </c>
      <c r="W24" s="2">
        <f>IF(COUNTIF(Roster!$D24:$M24,W$1)&gt;0,$B24,0)</f>
        <v>0</v>
      </c>
      <c r="X24" s="2">
        <f t="shared" si="0"/>
        <v>4</v>
      </c>
    </row>
    <row r="25" spans="1:24" ht="15" customHeight="1" x14ac:dyDescent="0.3">
      <c r="A25" s="2">
        <f>Roster!A25</f>
        <v>24</v>
      </c>
      <c r="B25" s="2">
        <f>Roster!C25</f>
        <v>1</v>
      </c>
      <c r="C25" s="2">
        <f>IF(COUNTIF(Roster!$D25:$M25,C$1)&gt;0,$B25,0)</f>
        <v>1</v>
      </c>
      <c r="D25" s="2">
        <f>IF(COUNTIF(Roster!$D25:$M25,D$1)&gt;0,$B25,0)</f>
        <v>1</v>
      </c>
      <c r="E25" s="2">
        <f>IF(COUNTIF(Roster!$D25:$M25,E$1)&gt;0,$B25,0)</f>
        <v>1</v>
      </c>
      <c r="F25" s="2">
        <f>IF(COUNTIF(Roster!$D25:$M25,F$1)&gt;0,$B25,0)</f>
        <v>1</v>
      </c>
      <c r="G25" s="2">
        <f>IF(COUNTIF(Roster!$D25:$M25,G$1)&gt;0,$B25,0)</f>
        <v>0</v>
      </c>
      <c r="H25" s="2">
        <f>IF(COUNTIF(Roster!$D25:$M25,H$1)&gt;0,$B25,0)</f>
        <v>0</v>
      </c>
      <c r="I25" s="2">
        <f>IF(COUNTIF(Roster!$D25:$M25,I$1)&gt;0,$B25,0)</f>
        <v>0</v>
      </c>
      <c r="J25" s="2">
        <f>IF(COUNTIF(Roster!$D25:$M25,J$1)&gt;0,$B25,0)</f>
        <v>0</v>
      </c>
      <c r="K25" s="2">
        <f>IF(COUNTIF(Roster!$D25:$M25,K$1)&gt;0,$B25,0)</f>
        <v>0</v>
      </c>
      <c r="L25" s="2">
        <f>IF(COUNTIF(Roster!$D25:$M25,L$1)&gt;0,$B25,0)</f>
        <v>0</v>
      </c>
      <c r="M25" s="2">
        <f>IF(COUNTIF(Roster!$D25:$M25,M$1)&gt;0,$B25,0)</f>
        <v>0</v>
      </c>
      <c r="N25" s="2">
        <f>IF(COUNTIF(Roster!$D25:$M25,N$1)&gt;0,$B25,0)</f>
        <v>0</v>
      </c>
      <c r="O25" s="2">
        <f>IF(COUNTIF(Roster!$D25:$M25,O$1)&gt;0,$B25,0)</f>
        <v>0</v>
      </c>
      <c r="P25" s="2">
        <f>IF(COUNTIF(Roster!$D25:$M25,P$1)&gt;0,$B25,0)</f>
        <v>0</v>
      </c>
      <c r="Q25" s="2">
        <f>IF(COUNTIF(Roster!$D25:$M25,Q$1)&gt;0,$B25,0)</f>
        <v>0</v>
      </c>
      <c r="R25" s="2">
        <f>IF(COUNTIF(Roster!$D25:$M25,R$1)&gt;0,$B25,0)</f>
        <v>0</v>
      </c>
      <c r="S25" s="2">
        <f>IF(COUNTIF(Roster!$D25:$M25,S$1)&gt;0,$B25,0)</f>
        <v>1</v>
      </c>
      <c r="T25" s="2">
        <f>IF(COUNTIF(Roster!$D25:$M25,T$1)&gt;0,$B25,0)</f>
        <v>0</v>
      </c>
      <c r="U25" s="2">
        <f>IF(COUNTIF(Roster!$D25:$M25,U$1)&gt;0,$B25,0)</f>
        <v>1</v>
      </c>
      <c r="V25" s="2">
        <f>IF(COUNTIF(Roster!$D25:$M25,V$1)&gt;0,$B25,0)</f>
        <v>1</v>
      </c>
      <c r="W25" s="2">
        <f>IF(COUNTIF(Roster!$D25:$M25,W$1)&gt;0,$B25,0)</f>
        <v>1</v>
      </c>
      <c r="X25" s="2">
        <f t="shared" si="0"/>
        <v>4</v>
      </c>
    </row>
    <row r="26" spans="1:24" ht="15" customHeight="1" x14ac:dyDescent="0.3">
      <c r="A26" s="2">
        <f>Roster!A26</f>
        <v>25</v>
      </c>
      <c r="B26" s="2">
        <f>Roster!C26</f>
        <v>1</v>
      </c>
      <c r="C26" s="2">
        <f>IF(COUNTIF(Roster!$D26:$M26,C$1)&gt;0,$B26,0)</f>
        <v>1</v>
      </c>
      <c r="D26" s="2">
        <f>IF(COUNTIF(Roster!$D26:$M26,D$1)&gt;0,$B26,0)</f>
        <v>1</v>
      </c>
      <c r="E26" s="2">
        <f>IF(COUNTIF(Roster!$D26:$M26,E$1)&gt;0,$B26,0)</f>
        <v>1</v>
      </c>
      <c r="F26" s="2">
        <f>IF(COUNTIF(Roster!$D26:$M26,F$1)&gt;0,$B26,0)</f>
        <v>1</v>
      </c>
      <c r="G26" s="2">
        <f>IF(COUNTIF(Roster!$D26:$M26,G$1)&gt;0,$B26,0)</f>
        <v>0</v>
      </c>
      <c r="H26" s="2">
        <f>IF(COUNTIF(Roster!$D26:$M26,H$1)&gt;0,$B26,0)</f>
        <v>0</v>
      </c>
      <c r="I26" s="2">
        <f>IF(COUNTIF(Roster!$D26:$M26,I$1)&gt;0,$B26,0)</f>
        <v>1</v>
      </c>
      <c r="J26" s="2">
        <f>IF(COUNTIF(Roster!$D26:$M26,J$1)&gt;0,$B26,0)</f>
        <v>0</v>
      </c>
      <c r="K26" s="2">
        <f>IF(COUNTIF(Roster!$D26:$M26,K$1)&gt;0,$B26,0)</f>
        <v>0</v>
      </c>
      <c r="L26" s="2">
        <f>IF(COUNTIF(Roster!$D26:$M26,L$1)&gt;0,$B26,0)</f>
        <v>0</v>
      </c>
      <c r="M26" s="2">
        <f>IF(COUNTIF(Roster!$D26:$M26,M$1)&gt;0,$B26,0)</f>
        <v>0</v>
      </c>
      <c r="N26" s="2">
        <f>IF(COUNTIF(Roster!$D26:$M26,N$1)&gt;0,$B26,0)</f>
        <v>0</v>
      </c>
      <c r="O26" s="2">
        <f>IF(COUNTIF(Roster!$D26:$M26,O$1)&gt;0,$B26,0)</f>
        <v>0</v>
      </c>
      <c r="P26" s="2">
        <f>IF(COUNTIF(Roster!$D26:$M26,P$1)&gt;0,$B26,0)</f>
        <v>0</v>
      </c>
      <c r="Q26" s="2">
        <f>IF(COUNTIF(Roster!$D26:$M26,Q$1)&gt;0,$B26,0)</f>
        <v>0</v>
      </c>
      <c r="R26" s="2">
        <f>IF(COUNTIF(Roster!$D26:$M26,R$1)&gt;0,$B26,0)</f>
        <v>1</v>
      </c>
      <c r="S26" s="2">
        <f>IF(COUNTIF(Roster!$D26:$M26,S$1)&gt;0,$B26,0)</f>
        <v>1</v>
      </c>
      <c r="T26" s="2">
        <f>IF(COUNTIF(Roster!$D26:$M26,T$1)&gt;0,$B26,0)</f>
        <v>0</v>
      </c>
      <c r="U26" s="2">
        <f>IF(COUNTIF(Roster!$D26:$M26,U$1)&gt;0,$B26,0)</f>
        <v>1</v>
      </c>
      <c r="V26" s="2">
        <f>IF(COUNTIF(Roster!$D26:$M26,V$1)&gt;0,$B26,0)</f>
        <v>0</v>
      </c>
      <c r="W26" s="2">
        <f>IF(COUNTIF(Roster!$D26:$M26,W$1)&gt;0,$B26,0)</f>
        <v>0</v>
      </c>
      <c r="X26" s="2">
        <f t="shared" si="0"/>
        <v>4</v>
      </c>
    </row>
    <row r="27" spans="1:24" ht="15" customHeight="1" x14ac:dyDescent="0.3">
      <c r="A27" s="2">
        <f>Roster!A27</f>
        <v>26</v>
      </c>
      <c r="B27" s="2">
        <f>Roster!C27</f>
        <v>1</v>
      </c>
      <c r="C27" s="2">
        <f>IF(COUNTIF(Roster!$D27:$M27,C$1)&gt;0,$B27,0)</f>
        <v>1</v>
      </c>
      <c r="D27" s="2">
        <f>IF(COUNTIF(Roster!$D27:$M27,D$1)&gt;0,$B27,0)</f>
        <v>1</v>
      </c>
      <c r="E27" s="2">
        <f>IF(COUNTIF(Roster!$D27:$M27,E$1)&gt;0,$B27,0)</f>
        <v>1</v>
      </c>
      <c r="F27" s="2">
        <f>IF(COUNTIF(Roster!$D27:$M27,F$1)&gt;0,$B27,0)</f>
        <v>1</v>
      </c>
      <c r="G27" s="2">
        <f>IF(COUNTIF(Roster!$D27:$M27,G$1)&gt;0,$B27,0)</f>
        <v>0</v>
      </c>
      <c r="H27" s="2">
        <f>IF(COUNTIF(Roster!$D27:$M27,H$1)&gt;0,$B27,0)</f>
        <v>0</v>
      </c>
      <c r="I27" s="2">
        <f>IF(COUNTIF(Roster!$D27:$M27,I$1)&gt;0,$B27,0)</f>
        <v>1</v>
      </c>
      <c r="J27" s="2">
        <f>IF(COUNTIF(Roster!$D27:$M27,J$1)&gt;0,$B27,0)</f>
        <v>0</v>
      </c>
      <c r="K27" s="2">
        <f>IF(COUNTIF(Roster!$D27:$M27,K$1)&gt;0,$B27,0)</f>
        <v>0</v>
      </c>
      <c r="L27" s="2">
        <f>IF(COUNTIF(Roster!$D27:$M27,L$1)&gt;0,$B27,0)</f>
        <v>0</v>
      </c>
      <c r="M27" s="2">
        <f>IF(COUNTIF(Roster!$D27:$M27,M$1)&gt;0,$B27,0)</f>
        <v>0</v>
      </c>
      <c r="N27" s="2">
        <f>IF(COUNTIF(Roster!$D27:$M27,N$1)&gt;0,$B27,0)</f>
        <v>0</v>
      </c>
      <c r="O27" s="2">
        <f>IF(COUNTIF(Roster!$D27:$M27,O$1)&gt;0,$B27,0)</f>
        <v>0</v>
      </c>
      <c r="P27" s="2">
        <f>IF(COUNTIF(Roster!$D27:$M27,P$1)&gt;0,$B27,0)</f>
        <v>1</v>
      </c>
      <c r="Q27" s="2">
        <f>IF(COUNTIF(Roster!$D27:$M27,Q$1)&gt;0,$B27,0)</f>
        <v>0</v>
      </c>
      <c r="R27" s="2">
        <f>IF(COUNTIF(Roster!$D27:$M27,R$1)&gt;0,$B27,0)</f>
        <v>0</v>
      </c>
      <c r="S27" s="2">
        <f>IF(COUNTIF(Roster!$D27:$M27,S$1)&gt;0,$B27,0)</f>
        <v>1</v>
      </c>
      <c r="T27" s="2">
        <f>IF(COUNTIF(Roster!$D27:$M27,T$1)&gt;0,$B27,0)</f>
        <v>0</v>
      </c>
      <c r="U27" s="2">
        <f>IF(COUNTIF(Roster!$D27:$M27,U$1)&gt;0,$B27,0)</f>
        <v>1</v>
      </c>
      <c r="V27" s="2">
        <f>IF(COUNTIF(Roster!$D27:$M27,V$1)&gt;0,$B27,0)</f>
        <v>0</v>
      </c>
      <c r="W27" s="2">
        <f>IF(COUNTIF(Roster!$D27:$M27,W$1)&gt;0,$B27,0)</f>
        <v>0</v>
      </c>
      <c r="X27" s="2">
        <f t="shared" si="0"/>
        <v>4</v>
      </c>
    </row>
    <row r="28" spans="1:24" ht="15" customHeight="1" x14ac:dyDescent="0.3">
      <c r="A28" s="2">
        <f>Roster!A28</f>
        <v>27</v>
      </c>
      <c r="B28" s="2">
        <f>Roster!C28</f>
        <v>1</v>
      </c>
      <c r="C28" s="2">
        <f>IF(COUNTIF(Roster!$D28:$M28,C$1)&gt;0,$B28,0)</f>
        <v>1</v>
      </c>
      <c r="D28" s="2">
        <f>IF(COUNTIF(Roster!$D28:$M28,D$1)&gt;0,$B28,0)</f>
        <v>1</v>
      </c>
      <c r="E28" s="2">
        <f>IF(COUNTIF(Roster!$D28:$M28,E$1)&gt;0,$B28,0)</f>
        <v>1</v>
      </c>
      <c r="F28" s="2">
        <f>IF(COUNTIF(Roster!$D28:$M28,F$1)&gt;0,$B28,0)</f>
        <v>0</v>
      </c>
      <c r="G28" s="2">
        <f>IF(COUNTIF(Roster!$D28:$M28,G$1)&gt;0,$B28,0)</f>
        <v>1</v>
      </c>
      <c r="H28" s="2">
        <f>IF(COUNTIF(Roster!$D28:$M28,H$1)&gt;0,$B28,0)</f>
        <v>0</v>
      </c>
      <c r="I28" s="2">
        <f>IF(COUNTIF(Roster!$D28:$M28,I$1)&gt;0,$B28,0)</f>
        <v>0</v>
      </c>
      <c r="J28" s="2">
        <f>IF(COUNTIF(Roster!$D28:$M28,J$1)&gt;0,$B28,0)</f>
        <v>1</v>
      </c>
      <c r="K28" s="2">
        <f>IF(COUNTIF(Roster!$D28:$M28,K$1)&gt;0,$B28,0)</f>
        <v>0</v>
      </c>
      <c r="L28" s="2">
        <f>IF(COUNTIF(Roster!$D28:$M28,L$1)&gt;0,$B28,0)</f>
        <v>0</v>
      </c>
      <c r="M28" s="2">
        <f>IF(COUNTIF(Roster!$D28:$M28,M$1)&gt;0,$B28,0)</f>
        <v>1</v>
      </c>
      <c r="N28" s="2">
        <f>IF(COUNTIF(Roster!$D28:$M28,N$1)&gt;0,$B28,0)</f>
        <v>0</v>
      </c>
      <c r="O28" s="2">
        <f>IF(COUNTIF(Roster!$D28:$M28,O$1)&gt;0,$B28,0)</f>
        <v>0</v>
      </c>
      <c r="P28" s="2">
        <f>IF(COUNTIF(Roster!$D28:$M28,P$1)&gt;0,$B28,0)</f>
        <v>0</v>
      </c>
      <c r="Q28" s="2">
        <f>IF(COUNTIF(Roster!$D28:$M28,Q$1)&gt;0,$B28,0)</f>
        <v>0</v>
      </c>
      <c r="R28" s="2">
        <f>IF(COUNTIF(Roster!$D28:$M28,R$1)&gt;0,$B28,0)</f>
        <v>0</v>
      </c>
      <c r="S28" s="2">
        <f>IF(COUNTIF(Roster!$D28:$M28,S$1)&gt;0,$B28,0)</f>
        <v>1</v>
      </c>
      <c r="T28" s="2">
        <f>IF(COUNTIF(Roster!$D28:$M28,T$1)&gt;0,$B28,0)</f>
        <v>0</v>
      </c>
      <c r="U28" s="2">
        <f>IF(COUNTIF(Roster!$D28:$M28,U$1)&gt;0,$B28,0)</f>
        <v>0</v>
      </c>
      <c r="V28" s="2">
        <f>IF(COUNTIF(Roster!$D28:$M28,V$1)&gt;0,$B28,0)</f>
        <v>0</v>
      </c>
      <c r="W28" s="2">
        <f>IF(COUNTIF(Roster!$D28:$M28,W$1)&gt;0,$B28,0)</f>
        <v>1</v>
      </c>
      <c r="X28" s="2">
        <f t="shared" si="0"/>
        <v>4</v>
      </c>
    </row>
    <row r="29" spans="1:24" ht="15" customHeight="1" x14ac:dyDescent="0.3">
      <c r="A29" s="2">
        <f>Roster!A29</f>
        <v>28</v>
      </c>
      <c r="B29" s="2">
        <f>Roster!C29</f>
        <v>1</v>
      </c>
      <c r="C29" s="2">
        <f>IF(COUNTIF(Roster!$D29:$M29,C$1)&gt;0,$B29,0)</f>
        <v>1</v>
      </c>
      <c r="D29" s="2">
        <f>IF(COUNTIF(Roster!$D29:$M29,D$1)&gt;0,$B29,0)</f>
        <v>1</v>
      </c>
      <c r="E29" s="2">
        <f>IF(COUNTIF(Roster!$D29:$M29,E$1)&gt;0,$B29,0)</f>
        <v>1</v>
      </c>
      <c r="F29" s="2">
        <f>IF(COUNTIF(Roster!$D29:$M29,F$1)&gt;0,$B29,0)</f>
        <v>1</v>
      </c>
      <c r="G29" s="2">
        <f>IF(COUNTIF(Roster!$D29:$M29,G$1)&gt;0,$B29,0)</f>
        <v>0</v>
      </c>
      <c r="H29" s="2">
        <f>IF(COUNTIF(Roster!$D29:$M29,H$1)&gt;0,$B29,0)</f>
        <v>0</v>
      </c>
      <c r="I29" s="2">
        <f>IF(COUNTIF(Roster!$D29:$M29,I$1)&gt;0,$B29,0)</f>
        <v>1</v>
      </c>
      <c r="J29" s="2">
        <f>IF(COUNTIF(Roster!$D29:$M29,J$1)&gt;0,$B29,0)</f>
        <v>1</v>
      </c>
      <c r="K29" s="2">
        <f>IF(COUNTIF(Roster!$D29:$M29,K$1)&gt;0,$B29,0)</f>
        <v>1</v>
      </c>
      <c r="L29" s="2">
        <f>IF(COUNTIF(Roster!$D29:$M29,L$1)&gt;0,$B29,0)</f>
        <v>0</v>
      </c>
      <c r="M29" s="2">
        <f>IF(COUNTIF(Roster!$D29:$M29,M$1)&gt;0,$B29,0)</f>
        <v>0</v>
      </c>
      <c r="N29" s="2">
        <f>IF(COUNTIF(Roster!$D29:$M29,N$1)&gt;0,$B29,0)</f>
        <v>0</v>
      </c>
      <c r="O29" s="2">
        <f>IF(COUNTIF(Roster!$D29:$M29,O$1)&gt;0,$B29,0)</f>
        <v>0</v>
      </c>
      <c r="P29" s="2">
        <f>IF(COUNTIF(Roster!$D29:$M29,P$1)&gt;0,$B29,0)</f>
        <v>0</v>
      </c>
      <c r="Q29" s="2">
        <f>IF(COUNTIF(Roster!$D29:$M29,Q$1)&gt;0,$B29,0)</f>
        <v>0</v>
      </c>
      <c r="R29" s="2">
        <f>IF(COUNTIF(Roster!$D29:$M29,R$1)&gt;0,$B29,0)</f>
        <v>0</v>
      </c>
      <c r="S29" s="2">
        <f>IF(COUNTIF(Roster!$D29:$M29,S$1)&gt;0,$B29,0)</f>
        <v>0</v>
      </c>
      <c r="T29" s="2">
        <f>IF(COUNTIF(Roster!$D29:$M29,T$1)&gt;0,$B29,0)</f>
        <v>0</v>
      </c>
      <c r="U29" s="2">
        <f>IF(COUNTIF(Roster!$D29:$M29,U$1)&gt;0,$B29,0)</f>
        <v>1</v>
      </c>
      <c r="V29" s="2">
        <f>IF(COUNTIF(Roster!$D29:$M29,V$1)&gt;0,$B29,0)</f>
        <v>0</v>
      </c>
      <c r="W29" s="2">
        <f>IF(COUNTIF(Roster!$D29:$M29,W$1)&gt;0,$B29,0)</f>
        <v>0</v>
      </c>
      <c r="X29" s="2">
        <f t="shared" si="0"/>
        <v>4</v>
      </c>
    </row>
    <row r="30" spans="1:24" ht="15" customHeight="1" x14ac:dyDescent="0.3">
      <c r="A30" s="2">
        <f>Roster!A30</f>
        <v>29</v>
      </c>
      <c r="B30" s="2">
        <f>Roster!C30</f>
        <v>1</v>
      </c>
      <c r="C30" s="2">
        <f>IF(COUNTIF(Roster!$D30:$M30,C$1)&gt;0,$B30,0)</f>
        <v>1</v>
      </c>
      <c r="D30" s="2">
        <f>IF(COUNTIF(Roster!$D30:$M30,D$1)&gt;0,$B30,0)</f>
        <v>1</v>
      </c>
      <c r="E30" s="2">
        <f>IF(COUNTIF(Roster!$D30:$M30,E$1)&gt;0,$B30,0)</f>
        <v>1</v>
      </c>
      <c r="F30" s="2">
        <f>IF(COUNTIF(Roster!$D30:$M30,F$1)&gt;0,$B30,0)</f>
        <v>1</v>
      </c>
      <c r="G30" s="2">
        <f>IF(COUNTIF(Roster!$D30:$M30,G$1)&gt;0,$B30,0)</f>
        <v>0</v>
      </c>
      <c r="H30" s="2">
        <f>IF(COUNTIF(Roster!$D30:$M30,H$1)&gt;0,$B30,0)</f>
        <v>1</v>
      </c>
      <c r="I30" s="2">
        <f>IF(COUNTIF(Roster!$D30:$M30,I$1)&gt;0,$B30,0)</f>
        <v>1</v>
      </c>
      <c r="J30" s="2">
        <f>IF(COUNTIF(Roster!$D30:$M30,J$1)&gt;0,$B30,0)</f>
        <v>0</v>
      </c>
      <c r="K30" s="2">
        <f>IF(COUNTIF(Roster!$D30:$M30,K$1)&gt;0,$B30,0)</f>
        <v>0</v>
      </c>
      <c r="L30" s="2">
        <f>IF(COUNTIF(Roster!$D30:$M30,L$1)&gt;0,$B30,0)</f>
        <v>0</v>
      </c>
      <c r="M30" s="2">
        <f>IF(COUNTIF(Roster!$D30:$M30,M$1)&gt;0,$B30,0)</f>
        <v>0</v>
      </c>
      <c r="N30" s="2">
        <f>IF(COUNTIF(Roster!$D30:$M30,N$1)&gt;0,$B30,0)</f>
        <v>0</v>
      </c>
      <c r="O30" s="2">
        <f>IF(COUNTIF(Roster!$D30:$M30,O$1)&gt;0,$B30,0)</f>
        <v>0</v>
      </c>
      <c r="P30" s="2">
        <f>IF(COUNTIF(Roster!$D30:$M30,P$1)&gt;0,$B30,0)</f>
        <v>0</v>
      </c>
      <c r="Q30" s="2">
        <f>IF(COUNTIF(Roster!$D30:$M30,Q$1)&gt;0,$B30,0)</f>
        <v>0</v>
      </c>
      <c r="R30" s="2">
        <f>IF(COUNTIF(Roster!$D30:$M30,R$1)&gt;0,$B30,0)</f>
        <v>0</v>
      </c>
      <c r="S30" s="2">
        <f>IF(COUNTIF(Roster!$D30:$M30,S$1)&gt;0,$B30,0)</f>
        <v>1</v>
      </c>
      <c r="T30" s="2">
        <f>IF(COUNTIF(Roster!$D30:$M30,T$1)&gt;0,$B30,0)</f>
        <v>0</v>
      </c>
      <c r="U30" s="2">
        <f>IF(COUNTIF(Roster!$D30:$M30,U$1)&gt;0,$B30,0)</f>
        <v>1</v>
      </c>
      <c r="V30" s="2">
        <f>IF(COUNTIF(Roster!$D30:$M30,V$1)&gt;0,$B30,0)</f>
        <v>0</v>
      </c>
      <c r="W30" s="2">
        <f>IF(COUNTIF(Roster!$D30:$M30,W$1)&gt;0,$B30,0)</f>
        <v>0</v>
      </c>
      <c r="X30" s="2">
        <f t="shared" si="0"/>
        <v>4</v>
      </c>
    </row>
    <row r="31" spans="1:24" ht="15" customHeight="1" x14ac:dyDescent="0.3">
      <c r="A31" s="2">
        <f>Roster!A31</f>
        <v>30</v>
      </c>
      <c r="B31" s="2">
        <f>Roster!C31</f>
        <v>1</v>
      </c>
      <c r="C31" s="2">
        <f>IF(COUNTIF(Roster!$D31:$M31,C$1)&gt;0,$B31,0)</f>
        <v>1</v>
      </c>
      <c r="D31" s="2">
        <f>IF(COUNTIF(Roster!$D31:$M31,D$1)&gt;0,$B31,0)</f>
        <v>1</v>
      </c>
      <c r="E31" s="2">
        <f>IF(COUNTIF(Roster!$D31:$M31,E$1)&gt;0,$B31,0)</f>
        <v>1</v>
      </c>
      <c r="F31" s="2">
        <f>IF(COUNTIF(Roster!$D31:$M31,F$1)&gt;0,$B31,0)</f>
        <v>0</v>
      </c>
      <c r="G31" s="2">
        <f>IF(COUNTIF(Roster!$D31:$M31,G$1)&gt;0,$B31,0)</f>
        <v>1</v>
      </c>
      <c r="H31" s="2">
        <f>IF(COUNTIF(Roster!$D31:$M31,H$1)&gt;0,$B31,0)</f>
        <v>0</v>
      </c>
      <c r="I31" s="2">
        <f>IF(COUNTIF(Roster!$D31:$M31,I$1)&gt;0,$B31,0)</f>
        <v>1</v>
      </c>
      <c r="J31" s="2">
        <f>IF(COUNTIF(Roster!$D31:$M31,J$1)&gt;0,$B31,0)</f>
        <v>1</v>
      </c>
      <c r="K31" s="2">
        <f>IF(COUNTIF(Roster!$D31:$M31,K$1)&gt;0,$B31,0)</f>
        <v>0</v>
      </c>
      <c r="L31" s="2">
        <f>IF(COUNTIF(Roster!$D31:$M31,L$1)&gt;0,$B31,0)</f>
        <v>0</v>
      </c>
      <c r="M31" s="2">
        <f>IF(COUNTIF(Roster!$D31:$M31,M$1)&gt;0,$B31,0)</f>
        <v>1</v>
      </c>
      <c r="N31" s="2">
        <f>IF(COUNTIF(Roster!$D31:$M31,N$1)&gt;0,$B31,0)</f>
        <v>0</v>
      </c>
      <c r="O31" s="2">
        <f>IF(COUNTIF(Roster!$D31:$M31,O$1)&gt;0,$B31,0)</f>
        <v>0</v>
      </c>
      <c r="P31" s="2">
        <f>IF(COUNTIF(Roster!$D31:$M31,P$1)&gt;0,$B31,0)</f>
        <v>0</v>
      </c>
      <c r="Q31" s="2">
        <f>IF(COUNTIF(Roster!$D31:$M31,Q$1)&gt;0,$B31,0)</f>
        <v>1</v>
      </c>
      <c r="R31" s="2">
        <f>IF(COUNTIF(Roster!$D31:$M31,R$1)&gt;0,$B31,0)</f>
        <v>0</v>
      </c>
      <c r="S31" s="2">
        <f>IF(COUNTIF(Roster!$D31:$M31,S$1)&gt;0,$B31,0)</f>
        <v>0</v>
      </c>
      <c r="T31" s="2">
        <f>IF(COUNTIF(Roster!$D31:$M31,T$1)&gt;0,$B31,0)</f>
        <v>0</v>
      </c>
      <c r="U31" s="2">
        <f>IF(COUNTIF(Roster!$D31:$M31,U$1)&gt;0,$B31,0)</f>
        <v>0</v>
      </c>
      <c r="V31" s="2">
        <f>IF(COUNTIF(Roster!$D31:$M31,V$1)&gt;0,$B31,0)</f>
        <v>0</v>
      </c>
      <c r="W31" s="2">
        <f>IF(COUNTIF(Roster!$D31:$M31,W$1)&gt;0,$B31,0)</f>
        <v>0</v>
      </c>
      <c r="X31" s="2">
        <f t="shared" si="0"/>
        <v>4</v>
      </c>
    </row>
    <row r="32" spans="1:24" ht="15" customHeight="1" x14ac:dyDescent="0.3">
      <c r="A32" s="2">
        <f>Roster!A32</f>
        <v>31</v>
      </c>
      <c r="B32" s="2">
        <f>Roster!C32</f>
        <v>1</v>
      </c>
      <c r="C32" s="2">
        <f>IF(COUNTIF(Roster!$D32:$M32,C$1)&gt;0,$B32,0)</f>
        <v>1</v>
      </c>
      <c r="D32" s="2">
        <f>IF(COUNTIF(Roster!$D32:$M32,D$1)&gt;0,$B32,0)</f>
        <v>1</v>
      </c>
      <c r="E32" s="2">
        <f>IF(COUNTIF(Roster!$D32:$M32,E$1)&gt;0,$B32,0)</f>
        <v>1</v>
      </c>
      <c r="F32" s="2">
        <f>IF(COUNTIF(Roster!$D32:$M32,F$1)&gt;0,$B32,0)</f>
        <v>0</v>
      </c>
      <c r="G32" s="2">
        <f>IF(COUNTIF(Roster!$D32:$M32,G$1)&gt;0,$B32,0)</f>
        <v>1</v>
      </c>
      <c r="H32" s="2">
        <f>IF(COUNTIF(Roster!$D32:$M32,H$1)&gt;0,$B32,0)</f>
        <v>0</v>
      </c>
      <c r="I32" s="2">
        <f>IF(COUNTIF(Roster!$D32:$M32,I$1)&gt;0,$B32,0)</f>
        <v>1</v>
      </c>
      <c r="J32" s="2">
        <f>IF(COUNTIF(Roster!$D32:$M32,J$1)&gt;0,$B32,0)</f>
        <v>1</v>
      </c>
      <c r="K32" s="2">
        <f>IF(COUNTIF(Roster!$D32:$M32,K$1)&gt;0,$B32,0)</f>
        <v>0</v>
      </c>
      <c r="L32" s="2">
        <f>IF(COUNTIF(Roster!$D32:$M32,L$1)&gt;0,$B32,0)</f>
        <v>0</v>
      </c>
      <c r="M32" s="2">
        <f>IF(COUNTIF(Roster!$D32:$M32,M$1)&gt;0,$B32,0)</f>
        <v>0</v>
      </c>
      <c r="N32" s="2">
        <f>IF(COUNTIF(Roster!$D32:$M32,N$1)&gt;0,$B32,0)</f>
        <v>0</v>
      </c>
      <c r="O32" s="2">
        <f>IF(COUNTIF(Roster!$D32:$M32,O$1)&gt;0,$B32,0)</f>
        <v>0</v>
      </c>
      <c r="P32" s="2">
        <f>IF(COUNTIF(Roster!$D32:$M32,P$1)&gt;0,$B32,0)</f>
        <v>0</v>
      </c>
      <c r="Q32" s="2">
        <f>IF(COUNTIF(Roster!$D32:$M32,Q$1)&gt;0,$B32,0)</f>
        <v>1</v>
      </c>
      <c r="R32" s="2">
        <f>IF(COUNTIF(Roster!$D32:$M32,R$1)&gt;0,$B32,0)</f>
        <v>0</v>
      </c>
      <c r="S32" s="2">
        <f>IF(COUNTIF(Roster!$D32:$M32,S$1)&gt;0,$B32,0)</f>
        <v>0</v>
      </c>
      <c r="T32" s="2">
        <f>IF(COUNTIF(Roster!$D32:$M32,T$1)&gt;0,$B32,0)</f>
        <v>0</v>
      </c>
      <c r="U32" s="2">
        <f>IF(COUNTIF(Roster!$D32:$M32,U$1)&gt;0,$B32,0)</f>
        <v>0</v>
      </c>
      <c r="V32" s="2">
        <f>IF(COUNTIF(Roster!$D32:$M32,V$1)&gt;0,$B32,0)</f>
        <v>1</v>
      </c>
      <c r="W32" s="2">
        <f>IF(COUNTIF(Roster!$D32:$M32,W$1)&gt;0,$B32,0)</f>
        <v>0</v>
      </c>
      <c r="X32" s="2">
        <f t="shared" si="0"/>
        <v>4</v>
      </c>
    </row>
    <row r="33" spans="1:24" ht="15" customHeight="1" x14ac:dyDescent="0.3">
      <c r="A33" s="2">
        <f>Roster!A33</f>
        <v>32</v>
      </c>
      <c r="B33" s="2">
        <f>Roster!C33</f>
        <v>1</v>
      </c>
      <c r="C33" s="2">
        <f>IF(COUNTIF(Roster!$D33:$M33,C$1)&gt;0,$B33,0)</f>
        <v>1</v>
      </c>
      <c r="D33" s="2">
        <f>IF(COUNTIF(Roster!$D33:$M33,D$1)&gt;0,$B33,0)</f>
        <v>1</v>
      </c>
      <c r="E33" s="2">
        <f>IF(COUNTIF(Roster!$D33:$M33,E$1)&gt;0,$B33,0)</f>
        <v>1</v>
      </c>
      <c r="F33" s="2">
        <f>IF(COUNTIF(Roster!$D33:$M33,F$1)&gt;0,$B33,0)</f>
        <v>0</v>
      </c>
      <c r="G33" s="2">
        <f>IF(COUNTIF(Roster!$D33:$M33,G$1)&gt;0,$B33,0)</f>
        <v>1</v>
      </c>
      <c r="H33" s="2">
        <f>IF(COUNTIF(Roster!$D33:$M33,H$1)&gt;0,$B33,0)</f>
        <v>0</v>
      </c>
      <c r="I33" s="2">
        <f>IF(COUNTIF(Roster!$D33:$M33,I$1)&gt;0,$B33,0)</f>
        <v>1</v>
      </c>
      <c r="J33" s="2">
        <f>IF(COUNTIF(Roster!$D33:$M33,J$1)&gt;0,$B33,0)</f>
        <v>1</v>
      </c>
      <c r="K33" s="2">
        <f>IF(COUNTIF(Roster!$D33:$M33,K$1)&gt;0,$B33,0)</f>
        <v>0</v>
      </c>
      <c r="L33" s="2">
        <f>IF(COUNTIF(Roster!$D33:$M33,L$1)&gt;0,$B33,0)</f>
        <v>0</v>
      </c>
      <c r="M33" s="2">
        <f>IF(COUNTIF(Roster!$D33:$M33,M$1)&gt;0,$B33,0)</f>
        <v>0</v>
      </c>
      <c r="N33" s="2">
        <f>IF(COUNTIF(Roster!$D33:$M33,N$1)&gt;0,$B33,0)</f>
        <v>0</v>
      </c>
      <c r="O33" s="2">
        <f>IF(COUNTIF(Roster!$D33:$M33,O$1)&gt;0,$B33,0)</f>
        <v>0</v>
      </c>
      <c r="P33" s="2">
        <f>IF(COUNTIF(Roster!$D33:$M33,P$1)&gt;0,$B33,0)</f>
        <v>1</v>
      </c>
      <c r="Q33" s="2">
        <f>IF(COUNTIF(Roster!$D33:$M33,Q$1)&gt;0,$B33,0)</f>
        <v>1</v>
      </c>
      <c r="R33" s="2">
        <f>IF(COUNTIF(Roster!$D33:$M33,R$1)&gt;0,$B33,0)</f>
        <v>0</v>
      </c>
      <c r="S33" s="2">
        <f>IF(COUNTIF(Roster!$D33:$M33,S$1)&gt;0,$B33,0)</f>
        <v>0</v>
      </c>
      <c r="T33" s="2">
        <f>IF(COUNTIF(Roster!$D33:$M33,T$1)&gt;0,$B33,0)</f>
        <v>0</v>
      </c>
      <c r="U33" s="2">
        <f>IF(COUNTIF(Roster!$D33:$M33,U$1)&gt;0,$B33,0)</f>
        <v>0</v>
      </c>
      <c r="V33" s="2">
        <f>IF(COUNTIF(Roster!$D33:$M33,V$1)&gt;0,$B33,0)</f>
        <v>0</v>
      </c>
      <c r="W33" s="2">
        <f>IF(COUNTIF(Roster!$D33:$M33,W$1)&gt;0,$B33,0)</f>
        <v>0</v>
      </c>
      <c r="X33" s="2">
        <f t="shared" si="0"/>
        <v>4</v>
      </c>
    </row>
    <row r="34" spans="1:24" ht="15" customHeight="1" x14ac:dyDescent="0.3">
      <c r="A34" s="2">
        <f>Roster!A34</f>
        <v>33</v>
      </c>
      <c r="B34" s="2">
        <f>Roster!C34</f>
        <v>1</v>
      </c>
      <c r="C34" s="2">
        <f>IF(COUNTIF(Roster!$D34:$M34,C$1)&gt;0,$B34,0)</f>
        <v>1</v>
      </c>
      <c r="D34" s="2">
        <f>IF(COUNTIF(Roster!$D34:$M34,D$1)&gt;0,$B34,0)</f>
        <v>1</v>
      </c>
      <c r="E34" s="2">
        <f>IF(COUNTIF(Roster!$D34:$M34,E$1)&gt;0,$B34,0)</f>
        <v>1</v>
      </c>
      <c r="F34" s="2">
        <f>IF(COUNTIF(Roster!$D34:$M34,F$1)&gt;0,$B34,0)</f>
        <v>1</v>
      </c>
      <c r="G34" s="2">
        <f>IF(COUNTIF(Roster!$D34:$M34,G$1)&gt;0,$B34,0)</f>
        <v>0</v>
      </c>
      <c r="H34" s="2">
        <f>IF(COUNTIF(Roster!$D34:$M34,H$1)&gt;0,$B34,0)</f>
        <v>1</v>
      </c>
      <c r="I34" s="2">
        <f>IF(COUNTIF(Roster!$D34:$M34,I$1)&gt;0,$B34,0)</f>
        <v>1</v>
      </c>
      <c r="J34" s="2">
        <f>IF(COUNTIF(Roster!$D34:$M34,J$1)&gt;0,$B34,0)</f>
        <v>1</v>
      </c>
      <c r="K34" s="2">
        <f>IF(COUNTIF(Roster!$D34:$M34,K$1)&gt;0,$B34,0)</f>
        <v>0</v>
      </c>
      <c r="L34" s="2">
        <f>IF(COUNTIF(Roster!$D34:$M34,L$1)&gt;0,$B34,0)</f>
        <v>0</v>
      </c>
      <c r="M34" s="2">
        <f>IF(COUNTIF(Roster!$D34:$M34,M$1)&gt;0,$B34,0)</f>
        <v>0</v>
      </c>
      <c r="N34" s="2">
        <f>IF(COUNTIF(Roster!$D34:$M34,N$1)&gt;0,$B34,0)</f>
        <v>0</v>
      </c>
      <c r="O34" s="2">
        <f>IF(COUNTIF(Roster!$D34:$M34,O$1)&gt;0,$B34,0)</f>
        <v>0</v>
      </c>
      <c r="P34" s="2">
        <f>IF(COUNTIF(Roster!$D34:$M34,P$1)&gt;0,$B34,0)</f>
        <v>0</v>
      </c>
      <c r="Q34" s="2">
        <f>IF(COUNTIF(Roster!$D34:$M34,Q$1)&gt;0,$B34,0)</f>
        <v>0</v>
      </c>
      <c r="R34" s="2">
        <f>IF(COUNTIF(Roster!$D34:$M34,R$1)&gt;0,$B34,0)</f>
        <v>0</v>
      </c>
      <c r="S34" s="2">
        <f>IF(COUNTIF(Roster!$D34:$M34,S$1)&gt;0,$B34,0)</f>
        <v>0</v>
      </c>
      <c r="T34" s="2">
        <f>IF(COUNTIF(Roster!$D34:$M34,T$1)&gt;0,$B34,0)</f>
        <v>0</v>
      </c>
      <c r="U34" s="2">
        <f>IF(COUNTIF(Roster!$D34:$M34,U$1)&gt;0,$B34,0)</f>
        <v>1</v>
      </c>
      <c r="V34" s="2">
        <f>IF(COUNTIF(Roster!$D34:$M34,V$1)&gt;0,$B34,0)</f>
        <v>0</v>
      </c>
      <c r="W34" s="2">
        <f>IF(COUNTIF(Roster!$D34:$M34,W$1)&gt;0,$B34,0)</f>
        <v>0</v>
      </c>
      <c r="X34" s="2">
        <f t="shared" si="0"/>
        <v>4</v>
      </c>
    </row>
    <row r="35" spans="1:24" ht="15" customHeight="1" x14ac:dyDescent="0.3">
      <c r="A35" s="2">
        <f>Roster!A35</f>
        <v>34</v>
      </c>
      <c r="B35" s="2">
        <f>Roster!C35</f>
        <v>1</v>
      </c>
      <c r="C35" s="2">
        <f>IF(COUNTIF(Roster!$D35:$M35,C$1)&gt;0,$B35,0)</f>
        <v>1</v>
      </c>
      <c r="D35" s="2">
        <f>IF(COUNTIF(Roster!$D35:$M35,D$1)&gt;0,$B35,0)</f>
        <v>1</v>
      </c>
      <c r="E35" s="2">
        <f>IF(COUNTIF(Roster!$D35:$M35,E$1)&gt;0,$B35,0)</f>
        <v>1</v>
      </c>
      <c r="F35" s="2">
        <f>IF(COUNTIF(Roster!$D35:$M35,F$1)&gt;0,$B35,0)</f>
        <v>1</v>
      </c>
      <c r="G35" s="2">
        <f>IF(COUNTIF(Roster!$D35:$M35,G$1)&gt;0,$B35,0)</f>
        <v>0</v>
      </c>
      <c r="H35" s="2">
        <f>IF(COUNTIF(Roster!$D35:$M35,H$1)&gt;0,$B35,0)</f>
        <v>0</v>
      </c>
      <c r="I35" s="2">
        <f>IF(COUNTIF(Roster!$D35:$M35,I$1)&gt;0,$B35,0)</f>
        <v>0</v>
      </c>
      <c r="J35" s="2">
        <f>IF(COUNTIF(Roster!$D35:$M35,J$1)&gt;0,$B35,0)</f>
        <v>1</v>
      </c>
      <c r="K35" s="2">
        <f>IF(COUNTIF(Roster!$D35:$M35,K$1)&gt;0,$B35,0)</f>
        <v>0</v>
      </c>
      <c r="L35" s="2">
        <f>IF(COUNTIF(Roster!$D35:$M35,L$1)&gt;0,$B35,0)</f>
        <v>0</v>
      </c>
      <c r="M35" s="2">
        <f>IF(COUNTIF(Roster!$D35:$M35,M$1)&gt;0,$B35,0)</f>
        <v>0</v>
      </c>
      <c r="N35" s="2">
        <f>IF(COUNTIF(Roster!$D35:$M35,N$1)&gt;0,$B35,0)</f>
        <v>0</v>
      </c>
      <c r="O35" s="2">
        <f>IF(COUNTIF(Roster!$D35:$M35,O$1)&gt;0,$B35,0)</f>
        <v>0</v>
      </c>
      <c r="P35" s="2">
        <f>IF(COUNTIF(Roster!$D35:$M35,P$1)&gt;0,$B35,0)</f>
        <v>1</v>
      </c>
      <c r="Q35" s="2">
        <f>IF(COUNTIF(Roster!$D35:$M35,Q$1)&gt;0,$B35,0)</f>
        <v>0</v>
      </c>
      <c r="R35" s="2">
        <f>IF(COUNTIF(Roster!$D35:$M35,R$1)&gt;0,$B35,0)</f>
        <v>0</v>
      </c>
      <c r="S35" s="2">
        <f>IF(COUNTIF(Roster!$D35:$M35,S$1)&gt;0,$B35,0)</f>
        <v>1</v>
      </c>
      <c r="T35" s="2">
        <f>IF(COUNTIF(Roster!$D35:$M35,T$1)&gt;0,$B35,0)</f>
        <v>0</v>
      </c>
      <c r="U35" s="2">
        <f>IF(COUNTIF(Roster!$D35:$M35,U$1)&gt;0,$B35,0)</f>
        <v>1</v>
      </c>
      <c r="V35" s="2">
        <f>IF(COUNTIF(Roster!$D35:$M35,V$1)&gt;0,$B35,0)</f>
        <v>0</v>
      </c>
      <c r="W35" s="2">
        <f>IF(COUNTIF(Roster!$D35:$M35,W$1)&gt;0,$B35,0)</f>
        <v>0</v>
      </c>
      <c r="X35" s="2">
        <f t="shared" si="0"/>
        <v>4</v>
      </c>
    </row>
    <row r="36" spans="1:24" ht="15" customHeight="1" x14ac:dyDescent="0.3">
      <c r="A36" s="2">
        <f>Roster!A36</f>
        <v>35</v>
      </c>
      <c r="B36" s="2">
        <f>Roster!C36</f>
        <v>1</v>
      </c>
      <c r="C36" s="2">
        <f>IF(COUNTIF(Roster!$D36:$M36,C$1)&gt;0,$B36,0)</f>
        <v>1</v>
      </c>
      <c r="D36" s="2">
        <f>IF(COUNTIF(Roster!$D36:$M36,D$1)&gt;0,$B36,0)</f>
        <v>1</v>
      </c>
      <c r="E36" s="2">
        <f>IF(COUNTIF(Roster!$D36:$M36,E$1)&gt;0,$B36,0)</f>
        <v>1</v>
      </c>
      <c r="F36" s="2">
        <f>IF(COUNTIF(Roster!$D36:$M36,F$1)&gt;0,$B36,0)</f>
        <v>1</v>
      </c>
      <c r="G36" s="2">
        <f>IF(COUNTIF(Roster!$D36:$M36,G$1)&gt;0,$B36,0)</f>
        <v>0</v>
      </c>
      <c r="H36" s="2">
        <f>IF(COUNTIF(Roster!$D36:$M36,H$1)&gt;0,$B36,0)</f>
        <v>0</v>
      </c>
      <c r="I36" s="2">
        <f>IF(COUNTIF(Roster!$D36:$M36,I$1)&gt;0,$B36,0)</f>
        <v>1</v>
      </c>
      <c r="J36" s="2">
        <f>IF(COUNTIF(Roster!$D36:$M36,J$1)&gt;0,$B36,0)</f>
        <v>0</v>
      </c>
      <c r="K36" s="2">
        <f>IF(COUNTIF(Roster!$D36:$M36,K$1)&gt;0,$B36,0)</f>
        <v>0</v>
      </c>
      <c r="L36" s="2">
        <f>IF(COUNTIF(Roster!$D36:$M36,L$1)&gt;0,$B36,0)</f>
        <v>0</v>
      </c>
      <c r="M36" s="2">
        <f>IF(COUNTIF(Roster!$D36:$M36,M$1)&gt;0,$B36,0)</f>
        <v>0</v>
      </c>
      <c r="N36" s="2">
        <f>IF(COUNTIF(Roster!$D36:$M36,N$1)&gt;0,$B36,0)</f>
        <v>1</v>
      </c>
      <c r="O36" s="2">
        <f>IF(COUNTIF(Roster!$D36:$M36,O$1)&gt;0,$B36,0)</f>
        <v>0</v>
      </c>
      <c r="P36" s="2">
        <f>IF(COUNTIF(Roster!$D36:$M36,P$1)&gt;0,$B36,0)</f>
        <v>0</v>
      </c>
      <c r="Q36" s="2">
        <f>IF(COUNTIF(Roster!$D36:$M36,Q$1)&gt;0,$B36,0)</f>
        <v>0</v>
      </c>
      <c r="R36" s="2">
        <f>IF(COUNTIF(Roster!$D36:$M36,R$1)&gt;0,$B36,0)</f>
        <v>1</v>
      </c>
      <c r="S36" s="2">
        <f>IF(COUNTIF(Roster!$D36:$M36,S$1)&gt;0,$B36,0)</f>
        <v>0</v>
      </c>
      <c r="T36" s="2">
        <f>IF(COUNTIF(Roster!$D36:$M36,T$1)&gt;0,$B36,0)</f>
        <v>0</v>
      </c>
      <c r="U36" s="2">
        <f>IF(COUNTIF(Roster!$D36:$M36,U$1)&gt;0,$B36,0)</f>
        <v>1</v>
      </c>
      <c r="V36" s="2">
        <f>IF(COUNTIF(Roster!$D36:$M36,V$1)&gt;0,$B36,0)</f>
        <v>1</v>
      </c>
      <c r="W36" s="2">
        <f>IF(COUNTIF(Roster!$D36:$M36,W$1)&gt;0,$B36,0)</f>
        <v>0</v>
      </c>
      <c r="X36" s="2">
        <f t="shared" si="0"/>
        <v>5</v>
      </c>
    </row>
    <row r="37" spans="1:24" ht="15" customHeight="1" x14ac:dyDescent="0.3">
      <c r="A37" s="2">
        <f>Roster!A37</f>
        <v>36</v>
      </c>
      <c r="B37" s="2">
        <f>Roster!C37</f>
        <v>1</v>
      </c>
      <c r="C37" s="2">
        <f>IF(COUNTIF(Roster!$D37:$M37,C$1)&gt;0,$B37,0)</f>
        <v>1</v>
      </c>
      <c r="D37" s="2">
        <f>IF(COUNTIF(Roster!$D37:$M37,D$1)&gt;0,$B37,0)</f>
        <v>1</v>
      </c>
      <c r="E37" s="2">
        <f>IF(COUNTIF(Roster!$D37:$M37,E$1)&gt;0,$B37,0)</f>
        <v>1</v>
      </c>
      <c r="F37" s="2">
        <f>IF(COUNTIF(Roster!$D37:$M37,F$1)&gt;0,$B37,0)</f>
        <v>0</v>
      </c>
      <c r="G37" s="2">
        <f>IF(COUNTIF(Roster!$D37:$M37,G$1)&gt;0,$B37,0)</f>
        <v>1</v>
      </c>
      <c r="H37" s="2">
        <f>IF(COUNTIF(Roster!$D37:$M37,H$1)&gt;0,$B37,0)</f>
        <v>0</v>
      </c>
      <c r="I37" s="2">
        <f>IF(COUNTIF(Roster!$D37:$M37,I$1)&gt;0,$B37,0)</f>
        <v>1</v>
      </c>
      <c r="J37" s="2">
        <f>IF(COUNTIF(Roster!$D37:$M37,J$1)&gt;0,$B37,0)</f>
        <v>1</v>
      </c>
      <c r="K37" s="2">
        <f>IF(COUNTIF(Roster!$D37:$M37,K$1)&gt;0,$B37,0)</f>
        <v>0</v>
      </c>
      <c r="L37" s="2">
        <f>IF(COUNTIF(Roster!$D37:$M37,L$1)&gt;0,$B37,0)</f>
        <v>0</v>
      </c>
      <c r="M37" s="2">
        <f>IF(COUNTIF(Roster!$D37:$M37,M$1)&gt;0,$B37,0)</f>
        <v>0</v>
      </c>
      <c r="N37" s="2">
        <f>IF(COUNTIF(Roster!$D37:$M37,N$1)&gt;0,$B37,0)</f>
        <v>0</v>
      </c>
      <c r="O37" s="2">
        <f>IF(COUNTIF(Roster!$D37:$M37,O$1)&gt;0,$B37,0)</f>
        <v>0</v>
      </c>
      <c r="P37" s="2">
        <f>IF(COUNTIF(Roster!$D37:$M37,P$1)&gt;0,$B37,0)</f>
        <v>0</v>
      </c>
      <c r="Q37" s="2">
        <f>IF(COUNTIF(Roster!$D37:$M37,Q$1)&gt;0,$B37,0)</f>
        <v>1</v>
      </c>
      <c r="R37" s="2">
        <f>IF(COUNTIF(Roster!$D37:$M37,R$1)&gt;0,$B37,0)</f>
        <v>0</v>
      </c>
      <c r="S37" s="2">
        <f>IF(COUNTIF(Roster!$D37:$M37,S$1)&gt;0,$B37,0)</f>
        <v>1</v>
      </c>
      <c r="T37" s="2">
        <f>IF(COUNTIF(Roster!$D37:$M37,T$1)&gt;0,$B37,0)</f>
        <v>0</v>
      </c>
      <c r="U37" s="2">
        <f>IF(COUNTIF(Roster!$D37:$M37,U$1)&gt;0,$B37,0)</f>
        <v>0</v>
      </c>
      <c r="V37" s="2">
        <f>IF(COUNTIF(Roster!$D37:$M37,V$1)&gt;0,$B37,0)</f>
        <v>0</v>
      </c>
      <c r="W37" s="2">
        <f>IF(COUNTIF(Roster!$D37:$M37,W$1)&gt;0,$B37,0)</f>
        <v>0</v>
      </c>
      <c r="X37" s="2">
        <f t="shared" si="0"/>
        <v>4</v>
      </c>
    </row>
    <row r="38" spans="1:24" ht="15" customHeight="1" x14ac:dyDescent="0.3">
      <c r="A38" s="2">
        <f>Roster!A38</f>
        <v>37</v>
      </c>
      <c r="B38" s="2">
        <f>Roster!C38</f>
        <v>1</v>
      </c>
      <c r="C38" s="2">
        <f>IF(COUNTIF(Roster!$D38:$M38,C$1)&gt;0,$B38,0)</f>
        <v>1</v>
      </c>
      <c r="D38" s="2">
        <f>IF(COUNTIF(Roster!$D38:$M38,D$1)&gt;0,$B38,0)</f>
        <v>1</v>
      </c>
      <c r="E38" s="2">
        <f>IF(COUNTIF(Roster!$D38:$M38,E$1)&gt;0,$B38,0)</f>
        <v>1</v>
      </c>
      <c r="F38" s="2">
        <f>IF(COUNTIF(Roster!$D38:$M38,F$1)&gt;0,$B38,0)</f>
        <v>0</v>
      </c>
      <c r="G38" s="2">
        <f>IF(COUNTIF(Roster!$D38:$M38,G$1)&gt;0,$B38,0)</f>
        <v>1</v>
      </c>
      <c r="H38" s="2">
        <f>IF(COUNTIF(Roster!$D38:$M38,H$1)&gt;0,$B38,0)</f>
        <v>1</v>
      </c>
      <c r="I38" s="2">
        <f>IF(COUNTIF(Roster!$D38:$M38,I$1)&gt;0,$B38,0)</f>
        <v>1</v>
      </c>
      <c r="J38" s="2">
        <f>IF(COUNTIF(Roster!$D38:$M38,J$1)&gt;0,$B38,0)</f>
        <v>1</v>
      </c>
      <c r="K38" s="2">
        <f>IF(COUNTIF(Roster!$D38:$M38,K$1)&gt;0,$B38,0)</f>
        <v>0</v>
      </c>
      <c r="L38" s="2">
        <f>IF(COUNTIF(Roster!$D38:$M38,L$1)&gt;0,$B38,0)</f>
        <v>0</v>
      </c>
      <c r="M38" s="2">
        <f>IF(COUNTIF(Roster!$D38:$M38,M$1)&gt;0,$B38,0)</f>
        <v>0</v>
      </c>
      <c r="N38" s="2">
        <f>IF(COUNTIF(Roster!$D38:$M38,N$1)&gt;0,$B38,0)</f>
        <v>0</v>
      </c>
      <c r="O38" s="2">
        <f>IF(COUNTIF(Roster!$D38:$M38,O$1)&gt;0,$B38,0)</f>
        <v>0</v>
      </c>
      <c r="P38" s="2">
        <f>IF(COUNTIF(Roster!$D38:$M38,P$1)&gt;0,$B38,0)</f>
        <v>0</v>
      </c>
      <c r="Q38" s="2">
        <f>IF(COUNTIF(Roster!$D38:$M38,Q$1)&gt;0,$B38,0)</f>
        <v>0</v>
      </c>
      <c r="R38" s="2">
        <f>IF(COUNTIF(Roster!$D38:$M38,R$1)&gt;0,$B38,0)</f>
        <v>0</v>
      </c>
      <c r="S38" s="2">
        <f>IF(COUNTIF(Roster!$D38:$M38,S$1)&gt;0,$B38,0)</f>
        <v>0</v>
      </c>
      <c r="T38" s="2">
        <f>IF(COUNTIF(Roster!$D38:$M38,T$1)&gt;0,$B38,0)</f>
        <v>0</v>
      </c>
      <c r="U38" s="2">
        <f>IF(COUNTIF(Roster!$D38:$M38,U$1)&gt;0,$B38,0)</f>
        <v>0</v>
      </c>
      <c r="V38" s="2">
        <f>IF(COUNTIF(Roster!$D38:$M38,V$1)&gt;0,$B38,0)</f>
        <v>1</v>
      </c>
      <c r="W38" s="2">
        <f>IF(COUNTIF(Roster!$D38:$M38,W$1)&gt;0,$B38,0)</f>
        <v>0</v>
      </c>
      <c r="X38" s="2">
        <f t="shared" si="0"/>
        <v>4</v>
      </c>
    </row>
    <row r="39" spans="1:24" ht="15" customHeight="1" x14ac:dyDescent="0.3">
      <c r="A39" s="2">
        <f>Roster!A39</f>
        <v>38</v>
      </c>
      <c r="B39" s="2">
        <f>Roster!C39</f>
        <v>1</v>
      </c>
      <c r="C39" s="2">
        <f>IF(COUNTIF(Roster!$D39:$M39,C$1)&gt;0,$B39,0)</f>
        <v>1</v>
      </c>
      <c r="D39" s="2">
        <f>IF(COUNTIF(Roster!$D39:$M39,D$1)&gt;0,$B39,0)</f>
        <v>1</v>
      </c>
      <c r="E39" s="2">
        <f>IF(COUNTIF(Roster!$D39:$M39,E$1)&gt;0,$B39,0)</f>
        <v>1</v>
      </c>
      <c r="F39" s="2">
        <f>IF(COUNTIF(Roster!$D39:$M39,F$1)&gt;0,$B39,0)</f>
        <v>1</v>
      </c>
      <c r="G39" s="2">
        <f>IF(COUNTIF(Roster!$D39:$M39,G$1)&gt;0,$B39,0)</f>
        <v>0</v>
      </c>
      <c r="H39" s="2">
        <f>IF(COUNTIF(Roster!$D39:$M39,H$1)&gt;0,$B39,0)</f>
        <v>0</v>
      </c>
      <c r="I39" s="2">
        <f>IF(COUNTIF(Roster!$D39:$M39,I$1)&gt;0,$B39,0)</f>
        <v>1</v>
      </c>
      <c r="J39" s="2">
        <f>IF(COUNTIF(Roster!$D39:$M39,J$1)&gt;0,$B39,0)</f>
        <v>0</v>
      </c>
      <c r="K39" s="2">
        <f>IF(COUNTIF(Roster!$D39:$M39,K$1)&gt;0,$B39,0)</f>
        <v>0</v>
      </c>
      <c r="L39" s="2">
        <f>IF(COUNTIF(Roster!$D39:$M39,L$1)&gt;0,$B39,0)</f>
        <v>0</v>
      </c>
      <c r="M39" s="2">
        <f>IF(COUNTIF(Roster!$D39:$M39,M$1)&gt;0,$B39,0)</f>
        <v>0</v>
      </c>
      <c r="N39" s="2">
        <f>IF(COUNTIF(Roster!$D39:$M39,N$1)&gt;0,$B39,0)</f>
        <v>1</v>
      </c>
      <c r="O39" s="2">
        <f>IF(COUNTIF(Roster!$D39:$M39,O$1)&gt;0,$B39,0)</f>
        <v>0</v>
      </c>
      <c r="P39" s="2">
        <f>IF(COUNTIF(Roster!$D39:$M39,P$1)&gt;0,$B39,0)</f>
        <v>0</v>
      </c>
      <c r="Q39" s="2">
        <f>IF(COUNTIF(Roster!$D39:$M39,Q$1)&gt;0,$B39,0)</f>
        <v>0</v>
      </c>
      <c r="R39" s="2">
        <f>IF(COUNTIF(Roster!$D39:$M39,R$1)&gt;0,$B39,0)</f>
        <v>0</v>
      </c>
      <c r="S39" s="2">
        <f>IF(COUNTIF(Roster!$D39:$M39,S$1)&gt;0,$B39,0)</f>
        <v>1</v>
      </c>
      <c r="T39" s="2">
        <f>IF(COUNTIF(Roster!$D39:$M39,T$1)&gt;0,$B39,0)</f>
        <v>0</v>
      </c>
      <c r="U39" s="2">
        <f>IF(COUNTIF(Roster!$D39:$M39,U$1)&gt;0,$B39,0)</f>
        <v>1</v>
      </c>
      <c r="V39" s="2">
        <f>IF(COUNTIF(Roster!$D39:$M39,V$1)&gt;0,$B39,0)</f>
        <v>0</v>
      </c>
      <c r="W39" s="2">
        <f>IF(COUNTIF(Roster!$D39:$M39,W$1)&gt;0,$B39,0)</f>
        <v>0</v>
      </c>
      <c r="X39" s="2">
        <f t="shared" si="0"/>
        <v>4</v>
      </c>
    </row>
    <row r="40" spans="1:24" ht="15" customHeight="1" x14ac:dyDescent="0.3">
      <c r="A40" s="2">
        <f>Roster!A40</f>
        <v>39</v>
      </c>
      <c r="B40" s="2">
        <f>Roster!C40</f>
        <v>1</v>
      </c>
      <c r="C40" s="2">
        <f>IF(COUNTIF(Roster!$D40:$M40,C$1)&gt;0,$B40,0)</f>
        <v>1</v>
      </c>
      <c r="D40" s="2">
        <f>IF(COUNTIF(Roster!$D40:$M40,D$1)&gt;0,$B40,0)</f>
        <v>1</v>
      </c>
      <c r="E40" s="2">
        <f>IF(COUNTIF(Roster!$D40:$M40,E$1)&gt;0,$B40,0)</f>
        <v>1</v>
      </c>
      <c r="F40" s="2">
        <f>IF(COUNTIF(Roster!$D40:$M40,F$1)&gt;0,$B40,0)</f>
        <v>1</v>
      </c>
      <c r="G40" s="2">
        <f>IF(COUNTIF(Roster!$D40:$M40,G$1)&gt;0,$B40,0)</f>
        <v>0</v>
      </c>
      <c r="H40" s="2">
        <f>IF(COUNTIF(Roster!$D40:$M40,H$1)&gt;0,$B40,0)</f>
        <v>0</v>
      </c>
      <c r="I40" s="2">
        <f>IF(COUNTIF(Roster!$D40:$M40,I$1)&gt;0,$B40,0)</f>
        <v>1</v>
      </c>
      <c r="J40" s="2">
        <f>IF(COUNTIF(Roster!$D40:$M40,J$1)&gt;0,$B40,0)</f>
        <v>0</v>
      </c>
      <c r="K40" s="2">
        <f>IF(COUNTIF(Roster!$D40:$M40,K$1)&gt;0,$B40,0)</f>
        <v>0</v>
      </c>
      <c r="L40" s="2">
        <f>IF(COUNTIF(Roster!$D40:$M40,L$1)&gt;0,$B40,0)</f>
        <v>0</v>
      </c>
      <c r="M40" s="2">
        <f>IF(COUNTIF(Roster!$D40:$M40,M$1)&gt;0,$B40,0)</f>
        <v>0</v>
      </c>
      <c r="N40" s="2">
        <f>IF(COUNTIF(Roster!$D40:$M40,N$1)&gt;0,$B40,0)</f>
        <v>1</v>
      </c>
      <c r="O40" s="2">
        <f>IF(COUNTIF(Roster!$D40:$M40,O$1)&gt;0,$B40,0)</f>
        <v>0</v>
      </c>
      <c r="P40" s="2">
        <f>IF(COUNTIF(Roster!$D40:$M40,P$1)&gt;0,$B40,0)</f>
        <v>0</v>
      </c>
      <c r="Q40" s="2">
        <f>IF(COUNTIF(Roster!$D40:$M40,Q$1)&gt;0,$B40,0)</f>
        <v>0</v>
      </c>
      <c r="R40" s="2">
        <f>IF(COUNTIF(Roster!$D40:$M40,R$1)&gt;0,$B40,0)</f>
        <v>1</v>
      </c>
      <c r="S40" s="2">
        <f>IF(COUNTIF(Roster!$D40:$M40,S$1)&gt;0,$B40,0)</f>
        <v>0</v>
      </c>
      <c r="T40" s="2">
        <f>IF(COUNTIF(Roster!$D40:$M40,T$1)&gt;0,$B40,0)</f>
        <v>0</v>
      </c>
      <c r="U40" s="2">
        <f>IF(COUNTIF(Roster!$D40:$M40,U$1)&gt;0,$B40,0)</f>
        <v>1</v>
      </c>
      <c r="V40" s="2">
        <f>IF(COUNTIF(Roster!$D40:$M40,V$1)&gt;0,$B40,0)</f>
        <v>0</v>
      </c>
      <c r="W40" s="2">
        <f>IF(COUNTIF(Roster!$D40:$M40,W$1)&gt;0,$B40,0)</f>
        <v>0</v>
      </c>
      <c r="X40" s="2">
        <f t="shared" si="0"/>
        <v>4</v>
      </c>
    </row>
    <row r="41" spans="1:24" ht="15" customHeight="1" x14ac:dyDescent="0.3">
      <c r="A41" s="2">
        <f>Roster!A41</f>
        <v>40</v>
      </c>
      <c r="B41" s="2">
        <f>Roster!C41</f>
        <v>1</v>
      </c>
      <c r="C41" s="2">
        <f>IF(COUNTIF(Roster!$D41:$M41,C$1)&gt;0,$B41,0)</f>
        <v>1</v>
      </c>
      <c r="D41" s="2">
        <f>IF(COUNTIF(Roster!$D41:$M41,D$1)&gt;0,$B41,0)</f>
        <v>1</v>
      </c>
      <c r="E41" s="2">
        <f>IF(COUNTIF(Roster!$D41:$M41,E$1)&gt;0,$B41,0)</f>
        <v>1</v>
      </c>
      <c r="F41" s="2">
        <f>IF(COUNTIF(Roster!$D41:$M41,F$1)&gt;0,$B41,0)</f>
        <v>1</v>
      </c>
      <c r="G41" s="2">
        <f>IF(COUNTIF(Roster!$D41:$M41,G$1)&gt;0,$B41,0)</f>
        <v>0</v>
      </c>
      <c r="H41" s="2">
        <f>IF(COUNTIF(Roster!$D41:$M41,H$1)&gt;0,$B41,0)</f>
        <v>0</v>
      </c>
      <c r="I41" s="2">
        <f>IF(COUNTIF(Roster!$D41:$M41,I$1)&gt;0,$B41,0)</f>
        <v>1</v>
      </c>
      <c r="J41" s="2">
        <f>IF(COUNTIF(Roster!$D41:$M41,J$1)&gt;0,$B41,0)</f>
        <v>0</v>
      </c>
      <c r="K41" s="2">
        <f>IF(COUNTIF(Roster!$D41:$M41,K$1)&gt;0,$B41,0)</f>
        <v>0</v>
      </c>
      <c r="L41" s="2">
        <f>IF(COUNTIF(Roster!$D41:$M41,L$1)&gt;0,$B41,0)</f>
        <v>0</v>
      </c>
      <c r="M41" s="2">
        <f>IF(COUNTIF(Roster!$D41:$M41,M$1)&gt;0,$B41,0)</f>
        <v>0</v>
      </c>
      <c r="N41" s="2">
        <f>IF(COUNTIF(Roster!$D41:$M41,N$1)&gt;0,$B41,0)</f>
        <v>1</v>
      </c>
      <c r="O41" s="2">
        <f>IF(COUNTIF(Roster!$D41:$M41,O$1)&gt;0,$B41,0)</f>
        <v>0</v>
      </c>
      <c r="P41" s="2">
        <f>IF(COUNTIF(Roster!$D41:$M41,P$1)&gt;0,$B41,0)</f>
        <v>0</v>
      </c>
      <c r="Q41" s="2">
        <f>IF(COUNTIF(Roster!$D41:$M41,Q$1)&gt;0,$B41,0)</f>
        <v>0</v>
      </c>
      <c r="R41" s="2">
        <f>IF(COUNTIF(Roster!$D41:$M41,R$1)&gt;0,$B41,0)</f>
        <v>1</v>
      </c>
      <c r="S41" s="2">
        <f>IF(COUNTIF(Roster!$D41:$M41,S$1)&gt;0,$B41,0)</f>
        <v>0</v>
      </c>
      <c r="T41" s="2">
        <f>IF(COUNTIF(Roster!$D41:$M41,T$1)&gt;0,$B41,0)</f>
        <v>0</v>
      </c>
      <c r="U41" s="2">
        <f>IF(COUNTIF(Roster!$D41:$M41,U$1)&gt;0,$B41,0)</f>
        <v>1</v>
      </c>
      <c r="V41" s="2">
        <f>IF(COUNTIF(Roster!$D41:$M41,V$1)&gt;0,$B41,0)</f>
        <v>0</v>
      </c>
      <c r="W41" s="2">
        <f>IF(COUNTIF(Roster!$D41:$M41,W$1)&gt;0,$B41,0)</f>
        <v>0</v>
      </c>
      <c r="X41" s="2">
        <f t="shared" si="0"/>
        <v>4</v>
      </c>
    </row>
    <row r="42" spans="1:24" ht="15" customHeight="1" x14ac:dyDescent="0.3">
      <c r="A42" s="2">
        <f>Roster!A42</f>
        <v>41</v>
      </c>
      <c r="B42" s="2">
        <f>Roster!C42</f>
        <v>1</v>
      </c>
      <c r="C42" s="2">
        <f>IF(COUNTIF(Roster!$D42:$M42,C$1)&gt;0,$B42,0)</f>
        <v>1</v>
      </c>
      <c r="D42" s="2">
        <f>IF(COUNTIF(Roster!$D42:$M42,D$1)&gt;0,$B42,0)</f>
        <v>1</v>
      </c>
      <c r="E42" s="2">
        <f>IF(COUNTIF(Roster!$D42:$M42,E$1)&gt;0,$B42,0)</f>
        <v>1</v>
      </c>
      <c r="F42" s="2">
        <f>IF(COUNTIF(Roster!$D42:$M42,F$1)&gt;0,$B42,0)</f>
        <v>0</v>
      </c>
      <c r="G42" s="2">
        <f>IF(COUNTIF(Roster!$D42:$M42,G$1)&gt;0,$B42,0)</f>
        <v>1</v>
      </c>
      <c r="H42" s="2">
        <f>IF(COUNTIF(Roster!$D42:$M42,H$1)&gt;0,$B42,0)</f>
        <v>0</v>
      </c>
      <c r="I42" s="2">
        <f>IF(COUNTIF(Roster!$D42:$M42,I$1)&gt;0,$B42,0)</f>
        <v>1</v>
      </c>
      <c r="J42" s="2">
        <f>IF(COUNTIF(Roster!$D42:$M42,J$1)&gt;0,$B42,0)</f>
        <v>1</v>
      </c>
      <c r="K42" s="2">
        <f>IF(COUNTIF(Roster!$D42:$M42,K$1)&gt;0,$B42,0)</f>
        <v>0</v>
      </c>
      <c r="L42" s="2">
        <f>IF(COUNTIF(Roster!$D42:$M42,L$1)&gt;0,$B42,0)</f>
        <v>1</v>
      </c>
      <c r="M42" s="2">
        <f>IF(COUNTIF(Roster!$D42:$M42,M$1)&gt;0,$B42,0)</f>
        <v>0</v>
      </c>
      <c r="N42" s="2">
        <f>IF(COUNTIF(Roster!$D42:$M42,N$1)&gt;0,$B42,0)</f>
        <v>0</v>
      </c>
      <c r="O42" s="2">
        <f>IF(COUNTIF(Roster!$D42:$M42,O$1)&gt;0,$B42,0)</f>
        <v>0</v>
      </c>
      <c r="P42" s="2">
        <f>IF(COUNTIF(Roster!$D42:$M42,P$1)&gt;0,$B42,0)</f>
        <v>0</v>
      </c>
      <c r="Q42" s="2">
        <f>IF(COUNTIF(Roster!$D42:$M42,Q$1)&gt;0,$B42,0)</f>
        <v>1</v>
      </c>
      <c r="R42" s="2">
        <f>IF(COUNTIF(Roster!$D42:$M42,R$1)&gt;0,$B42,0)</f>
        <v>0</v>
      </c>
      <c r="S42" s="2">
        <f>IF(COUNTIF(Roster!$D42:$M42,S$1)&gt;0,$B42,0)</f>
        <v>0</v>
      </c>
      <c r="T42" s="2">
        <f>IF(COUNTIF(Roster!$D42:$M42,T$1)&gt;0,$B42,0)</f>
        <v>0</v>
      </c>
      <c r="U42" s="2">
        <f>IF(COUNTIF(Roster!$D42:$M42,U$1)&gt;0,$B42,0)</f>
        <v>0</v>
      </c>
      <c r="V42" s="2">
        <f>IF(COUNTIF(Roster!$D42:$M42,V$1)&gt;0,$B42,0)</f>
        <v>0</v>
      </c>
      <c r="W42" s="2">
        <f>IF(COUNTIF(Roster!$D42:$M42,W$1)&gt;0,$B42,0)</f>
        <v>0</v>
      </c>
      <c r="X42" s="2">
        <f t="shared" si="0"/>
        <v>4</v>
      </c>
    </row>
    <row r="43" spans="1:24" ht="15" customHeight="1" x14ac:dyDescent="0.3">
      <c r="A43" s="2">
        <f>Roster!A43</f>
        <v>42</v>
      </c>
      <c r="B43" s="2">
        <f>Roster!C43</f>
        <v>1</v>
      </c>
      <c r="C43" s="2">
        <f>IF(COUNTIF(Roster!$D43:$M43,C$1)&gt;0,$B43,0)</f>
        <v>1</v>
      </c>
      <c r="D43" s="2">
        <f>IF(COUNTIF(Roster!$D43:$M43,D$1)&gt;0,$B43,0)</f>
        <v>1</v>
      </c>
      <c r="E43" s="2">
        <f>IF(COUNTIF(Roster!$D43:$M43,E$1)&gt;0,$B43,0)</f>
        <v>1</v>
      </c>
      <c r="F43" s="2">
        <f>IF(COUNTIF(Roster!$D43:$M43,F$1)&gt;0,$B43,0)</f>
        <v>1</v>
      </c>
      <c r="G43" s="2">
        <f>IF(COUNTIF(Roster!$D43:$M43,G$1)&gt;0,$B43,0)</f>
        <v>0</v>
      </c>
      <c r="H43" s="2">
        <f>IF(COUNTIF(Roster!$D43:$M43,H$1)&gt;0,$B43,0)</f>
        <v>0</v>
      </c>
      <c r="I43" s="2">
        <f>IF(COUNTIF(Roster!$D43:$M43,I$1)&gt;0,$B43,0)</f>
        <v>1</v>
      </c>
      <c r="J43" s="2">
        <f>IF(COUNTIF(Roster!$D43:$M43,J$1)&gt;0,$B43,0)</f>
        <v>0</v>
      </c>
      <c r="K43" s="2">
        <f>IF(COUNTIF(Roster!$D43:$M43,K$1)&gt;0,$B43,0)</f>
        <v>0</v>
      </c>
      <c r="L43" s="2">
        <f>IF(COUNTIF(Roster!$D43:$M43,L$1)&gt;0,$B43,0)</f>
        <v>0</v>
      </c>
      <c r="M43" s="2">
        <f>IF(COUNTIF(Roster!$D43:$M43,M$1)&gt;0,$B43,0)</f>
        <v>0</v>
      </c>
      <c r="N43" s="2">
        <f>IF(COUNTIF(Roster!$D43:$M43,N$1)&gt;0,$B43,0)</f>
        <v>0</v>
      </c>
      <c r="O43" s="2">
        <f>IF(COUNTIF(Roster!$D43:$M43,O$1)&gt;0,$B43,0)</f>
        <v>0</v>
      </c>
      <c r="P43" s="2">
        <f>IF(COUNTIF(Roster!$D43:$M43,P$1)&gt;0,$B43,0)</f>
        <v>0</v>
      </c>
      <c r="Q43" s="2">
        <f>IF(COUNTIF(Roster!$D43:$M43,Q$1)&gt;0,$B43,0)</f>
        <v>0</v>
      </c>
      <c r="R43" s="2">
        <f>IF(COUNTIF(Roster!$D43:$M43,R$1)&gt;0,$B43,0)</f>
        <v>0</v>
      </c>
      <c r="S43" s="2">
        <f>IF(COUNTIF(Roster!$D43:$M43,S$1)&gt;0,$B43,0)</f>
        <v>0</v>
      </c>
      <c r="T43" s="2">
        <f>IF(COUNTIF(Roster!$D43:$M43,T$1)&gt;0,$B43,0)</f>
        <v>1</v>
      </c>
      <c r="U43" s="2">
        <f>IF(COUNTIF(Roster!$D43:$M43,U$1)&gt;0,$B43,0)</f>
        <v>1</v>
      </c>
      <c r="V43" s="2">
        <f>IF(COUNTIF(Roster!$D43:$M43,V$1)&gt;0,$B43,0)</f>
        <v>1</v>
      </c>
      <c r="W43" s="2">
        <f>IF(COUNTIF(Roster!$D43:$M43,W$1)&gt;0,$B43,0)</f>
        <v>0</v>
      </c>
      <c r="X43" s="2">
        <f t="shared" si="0"/>
        <v>4</v>
      </c>
    </row>
    <row r="44" spans="1:24" ht="15" customHeight="1" x14ac:dyDescent="0.3">
      <c r="A44" s="2">
        <f>Roster!A44</f>
        <v>43</v>
      </c>
      <c r="B44" s="2">
        <f>Roster!C44</f>
        <v>1</v>
      </c>
      <c r="C44" s="2">
        <f>IF(COUNTIF(Roster!$D44:$M44,C$1)&gt;0,$B44,0)</f>
        <v>1</v>
      </c>
      <c r="D44" s="2">
        <f>IF(COUNTIF(Roster!$D44:$M44,D$1)&gt;0,$B44,0)</f>
        <v>1</v>
      </c>
      <c r="E44" s="2">
        <f>IF(COUNTIF(Roster!$D44:$M44,E$1)&gt;0,$B44,0)</f>
        <v>1</v>
      </c>
      <c r="F44" s="2">
        <f>IF(COUNTIF(Roster!$D44:$M44,F$1)&gt;0,$B44,0)</f>
        <v>1</v>
      </c>
      <c r="G44" s="2">
        <f>IF(COUNTIF(Roster!$D44:$M44,G$1)&gt;0,$B44,0)</f>
        <v>0</v>
      </c>
      <c r="H44" s="2">
        <f>IF(COUNTIF(Roster!$D44:$M44,H$1)&gt;0,$B44,0)</f>
        <v>0</v>
      </c>
      <c r="I44" s="2">
        <f>IF(COUNTIF(Roster!$D44:$M44,I$1)&gt;0,$B44,0)</f>
        <v>1</v>
      </c>
      <c r="J44" s="2">
        <f>IF(COUNTIF(Roster!$D44:$M44,J$1)&gt;0,$B44,0)</f>
        <v>1</v>
      </c>
      <c r="K44" s="2">
        <f>IF(COUNTIF(Roster!$D44:$M44,K$1)&gt;0,$B44,0)</f>
        <v>0</v>
      </c>
      <c r="L44" s="2">
        <f>IF(COUNTIF(Roster!$D44:$M44,L$1)&gt;0,$B44,0)</f>
        <v>0</v>
      </c>
      <c r="M44" s="2">
        <f>IF(COUNTIF(Roster!$D44:$M44,M$1)&gt;0,$B44,0)</f>
        <v>0</v>
      </c>
      <c r="N44" s="2">
        <f>IF(COUNTIF(Roster!$D44:$M44,N$1)&gt;0,$B44,0)</f>
        <v>0</v>
      </c>
      <c r="O44" s="2">
        <f>IF(COUNTIF(Roster!$D44:$M44,O$1)&gt;0,$B44,0)</f>
        <v>0</v>
      </c>
      <c r="P44" s="2">
        <f>IF(COUNTIF(Roster!$D44:$M44,P$1)&gt;0,$B44,0)</f>
        <v>0</v>
      </c>
      <c r="Q44" s="2">
        <f>IF(COUNTIF(Roster!$D44:$M44,Q$1)&gt;0,$B44,0)</f>
        <v>0</v>
      </c>
      <c r="R44" s="2">
        <f>IF(COUNTIF(Roster!$D44:$M44,R$1)&gt;0,$B44,0)</f>
        <v>0</v>
      </c>
      <c r="S44" s="2">
        <f>IF(COUNTIF(Roster!$D44:$M44,S$1)&gt;0,$B44,0)</f>
        <v>1</v>
      </c>
      <c r="T44" s="2">
        <f>IF(COUNTIF(Roster!$D44:$M44,T$1)&gt;0,$B44,0)</f>
        <v>0</v>
      </c>
      <c r="U44" s="2">
        <f>IF(COUNTIF(Roster!$D44:$M44,U$1)&gt;0,$B44,0)</f>
        <v>1</v>
      </c>
      <c r="V44" s="2">
        <f>IF(COUNTIF(Roster!$D44:$M44,V$1)&gt;0,$B44,0)</f>
        <v>0</v>
      </c>
      <c r="W44" s="2">
        <f>IF(COUNTIF(Roster!$D44:$M44,W$1)&gt;0,$B44,0)</f>
        <v>0</v>
      </c>
      <c r="X44" s="2">
        <f t="shared" si="0"/>
        <v>4</v>
      </c>
    </row>
    <row r="45" spans="1:24" ht="15" customHeight="1" x14ac:dyDescent="0.3">
      <c r="A45" s="2">
        <f>Roster!A45</f>
        <v>44</v>
      </c>
      <c r="B45" s="2">
        <f>Roster!C45</f>
        <v>1</v>
      </c>
      <c r="C45" s="2">
        <f>IF(COUNTIF(Roster!$D45:$M45,C$1)&gt;0,$B45,0)</f>
        <v>1</v>
      </c>
      <c r="D45" s="2">
        <f>IF(COUNTIF(Roster!$D45:$M45,D$1)&gt;0,$B45,0)</f>
        <v>1</v>
      </c>
      <c r="E45" s="2">
        <f>IF(COUNTIF(Roster!$D45:$M45,E$1)&gt;0,$B45,0)</f>
        <v>1</v>
      </c>
      <c r="F45" s="2">
        <f>IF(COUNTIF(Roster!$D45:$M45,F$1)&gt;0,$B45,0)</f>
        <v>0</v>
      </c>
      <c r="G45" s="2">
        <f>IF(COUNTIF(Roster!$D45:$M45,G$1)&gt;0,$B45,0)</f>
        <v>1</v>
      </c>
      <c r="H45" s="2">
        <f>IF(COUNTIF(Roster!$D45:$M45,H$1)&gt;0,$B45,0)</f>
        <v>0</v>
      </c>
      <c r="I45" s="2">
        <f>IF(COUNTIF(Roster!$D45:$M45,I$1)&gt;0,$B45,0)</f>
        <v>1</v>
      </c>
      <c r="J45" s="2">
        <f>IF(COUNTIF(Roster!$D45:$M45,J$1)&gt;0,$B45,0)</f>
        <v>0</v>
      </c>
      <c r="K45" s="2">
        <f>IF(COUNTIF(Roster!$D45:$M45,K$1)&gt;0,$B45,0)</f>
        <v>1</v>
      </c>
      <c r="L45" s="2">
        <f>IF(COUNTIF(Roster!$D45:$M45,L$1)&gt;0,$B45,0)</f>
        <v>0</v>
      </c>
      <c r="M45" s="2">
        <f>IF(COUNTIF(Roster!$D45:$M45,M$1)&gt;0,$B45,0)</f>
        <v>0</v>
      </c>
      <c r="N45" s="2">
        <f>IF(COUNTIF(Roster!$D45:$M45,N$1)&gt;0,$B45,0)</f>
        <v>1</v>
      </c>
      <c r="O45" s="2">
        <f>IF(COUNTIF(Roster!$D45:$M45,O$1)&gt;0,$B45,0)</f>
        <v>0</v>
      </c>
      <c r="P45" s="2">
        <f>IF(COUNTIF(Roster!$D45:$M45,P$1)&gt;0,$B45,0)</f>
        <v>0</v>
      </c>
      <c r="Q45" s="2">
        <f>IF(COUNTIF(Roster!$D45:$M45,Q$1)&gt;0,$B45,0)</f>
        <v>0</v>
      </c>
      <c r="R45" s="2">
        <f>IF(COUNTIF(Roster!$D45:$M45,R$1)&gt;0,$B45,0)</f>
        <v>0</v>
      </c>
      <c r="S45" s="2">
        <f>IF(COUNTIF(Roster!$D45:$M45,S$1)&gt;0,$B45,0)</f>
        <v>0</v>
      </c>
      <c r="T45" s="2">
        <f>IF(COUNTIF(Roster!$D45:$M45,T$1)&gt;0,$B45,0)</f>
        <v>0</v>
      </c>
      <c r="U45" s="2">
        <f>IF(COUNTIF(Roster!$D45:$M45,U$1)&gt;0,$B45,0)</f>
        <v>0</v>
      </c>
      <c r="V45" s="2">
        <f>IF(COUNTIF(Roster!$D45:$M45,V$1)&gt;0,$B45,0)</f>
        <v>1</v>
      </c>
      <c r="W45" s="2">
        <f>IF(COUNTIF(Roster!$D45:$M45,W$1)&gt;0,$B45,0)</f>
        <v>0</v>
      </c>
      <c r="X45" s="2">
        <f t="shared" si="0"/>
        <v>4</v>
      </c>
    </row>
    <row r="46" spans="1:24" ht="15" customHeight="1" x14ac:dyDescent="0.3">
      <c r="A46" s="2">
        <f>Roster!A46</f>
        <v>45</v>
      </c>
      <c r="B46" s="2">
        <f>Roster!C46</f>
        <v>1</v>
      </c>
      <c r="C46" s="2">
        <f>IF(COUNTIF(Roster!$D46:$M46,C$1)&gt;0,$B46,0)</f>
        <v>1</v>
      </c>
      <c r="D46" s="2">
        <f>IF(COUNTIF(Roster!$D46:$M46,D$1)&gt;0,$B46,0)</f>
        <v>1</v>
      </c>
      <c r="E46" s="2">
        <f>IF(COUNTIF(Roster!$D46:$M46,E$1)&gt;0,$B46,0)</f>
        <v>1</v>
      </c>
      <c r="F46" s="2">
        <f>IF(COUNTIF(Roster!$D46:$M46,F$1)&gt;0,$B46,0)</f>
        <v>0</v>
      </c>
      <c r="G46" s="2">
        <f>IF(COUNTIF(Roster!$D46:$M46,G$1)&gt;0,$B46,0)</f>
        <v>1</v>
      </c>
      <c r="H46" s="2">
        <f>IF(COUNTIF(Roster!$D46:$M46,H$1)&gt;0,$B46,0)</f>
        <v>0</v>
      </c>
      <c r="I46" s="2">
        <f>IF(COUNTIF(Roster!$D46:$M46,I$1)&gt;0,$B46,0)</f>
        <v>0</v>
      </c>
      <c r="J46" s="2">
        <f>IF(COUNTIF(Roster!$D46:$M46,J$1)&gt;0,$B46,0)</f>
        <v>0</v>
      </c>
      <c r="K46" s="2">
        <f>IF(COUNTIF(Roster!$D46:$M46,K$1)&gt;0,$B46,0)</f>
        <v>1</v>
      </c>
      <c r="L46" s="2">
        <f>IF(COUNTIF(Roster!$D46:$M46,L$1)&gt;0,$B46,0)</f>
        <v>0</v>
      </c>
      <c r="M46" s="2">
        <f>IF(COUNTIF(Roster!$D46:$M46,M$1)&gt;0,$B46,0)</f>
        <v>0</v>
      </c>
      <c r="N46" s="2">
        <f>IF(COUNTIF(Roster!$D46:$M46,N$1)&gt;0,$B46,0)</f>
        <v>0</v>
      </c>
      <c r="O46" s="2">
        <f>IF(COUNTIF(Roster!$D46:$M46,O$1)&gt;0,$B46,0)</f>
        <v>0</v>
      </c>
      <c r="P46" s="2">
        <f>IF(COUNTIF(Roster!$D46:$M46,P$1)&gt;0,$B46,0)</f>
        <v>0</v>
      </c>
      <c r="Q46" s="2">
        <f>IF(COUNTIF(Roster!$D46:$M46,Q$1)&gt;0,$B46,0)</f>
        <v>1</v>
      </c>
      <c r="R46" s="2">
        <f>IF(COUNTIF(Roster!$D46:$M46,R$1)&gt;0,$B46,0)</f>
        <v>0</v>
      </c>
      <c r="S46" s="2">
        <f>IF(COUNTIF(Roster!$D46:$M46,S$1)&gt;0,$B46,0)</f>
        <v>0</v>
      </c>
      <c r="T46" s="2">
        <f>IF(COUNTIF(Roster!$D46:$M46,T$1)&gt;0,$B46,0)</f>
        <v>0</v>
      </c>
      <c r="U46" s="2">
        <f>IF(COUNTIF(Roster!$D46:$M46,U$1)&gt;0,$B46,0)</f>
        <v>0</v>
      </c>
      <c r="V46" s="2">
        <f>IF(COUNTIF(Roster!$D46:$M46,V$1)&gt;0,$B46,0)</f>
        <v>1</v>
      </c>
      <c r="W46" s="2">
        <f>IF(COUNTIF(Roster!$D46:$M46,W$1)&gt;0,$B46,0)</f>
        <v>1</v>
      </c>
      <c r="X46" s="2">
        <f t="shared" si="0"/>
        <v>4</v>
      </c>
    </row>
    <row r="47" spans="1:24" ht="15" customHeight="1" x14ac:dyDescent="0.3">
      <c r="A47" s="2">
        <f>Roster!A47</f>
        <v>46</v>
      </c>
      <c r="B47" s="2">
        <f>Roster!C47</f>
        <v>1</v>
      </c>
      <c r="C47" s="2">
        <f>IF(COUNTIF(Roster!$D47:$M47,C$1)&gt;0,$B47,0)</f>
        <v>1</v>
      </c>
      <c r="D47" s="2">
        <f>IF(COUNTIF(Roster!$D47:$M47,D$1)&gt;0,$B47,0)</f>
        <v>1</v>
      </c>
      <c r="E47" s="2">
        <f>IF(COUNTIF(Roster!$D47:$M47,E$1)&gt;0,$B47,0)</f>
        <v>1</v>
      </c>
      <c r="F47" s="2">
        <f>IF(COUNTIF(Roster!$D47:$M47,F$1)&gt;0,$B47,0)</f>
        <v>1</v>
      </c>
      <c r="G47" s="2">
        <f>IF(COUNTIF(Roster!$D47:$M47,G$1)&gt;0,$B47,0)</f>
        <v>0</v>
      </c>
      <c r="H47" s="2">
        <f>IF(COUNTIF(Roster!$D47:$M47,H$1)&gt;0,$B47,0)</f>
        <v>1</v>
      </c>
      <c r="I47" s="2">
        <f>IF(COUNTIF(Roster!$D47:$M47,I$1)&gt;0,$B47,0)</f>
        <v>1</v>
      </c>
      <c r="J47" s="2">
        <f>IF(COUNTIF(Roster!$D47:$M47,J$1)&gt;0,$B47,0)</f>
        <v>0</v>
      </c>
      <c r="K47" s="2">
        <f>IF(COUNTIF(Roster!$D47:$M47,K$1)&gt;0,$B47,0)</f>
        <v>0</v>
      </c>
      <c r="L47" s="2">
        <f>IF(COUNTIF(Roster!$D47:$M47,L$1)&gt;0,$B47,0)</f>
        <v>0</v>
      </c>
      <c r="M47" s="2">
        <f>IF(COUNTIF(Roster!$D47:$M47,M$1)&gt;0,$B47,0)</f>
        <v>0</v>
      </c>
      <c r="N47" s="2">
        <f>IF(COUNTIF(Roster!$D47:$M47,N$1)&gt;0,$B47,0)</f>
        <v>1</v>
      </c>
      <c r="O47" s="2">
        <f>IF(COUNTIF(Roster!$D47:$M47,O$1)&gt;0,$B47,0)</f>
        <v>0</v>
      </c>
      <c r="P47" s="2">
        <f>IF(COUNTIF(Roster!$D47:$M47,P$1)&gt;0,$B47,0)</f>
        <v>0</v>
      </c>
      <c r="Q47" s="2">
        <f>IF(COUNTIF(Roster!$D47:$M47,Q$1)&gt;0,$B47,0)</f>
        <v>0</v>
      </c>
      <c r="R47" s="2">
        <f>IF(COUNTIF(Roster!$D47:$M47,R$1)&gt;0,$B47,0)</f>
        <v>1</v>
      </c>
      <c r="S47" s="2">
        <f>IF(COUNTIF(Roster!$D47:$M47,S$1)&gt;0,$B47,0)</f>
        <v>0</v>
      </c>
      <c r="T47" s="2">
        <f>IF(COUNTIF(Roster!$D47:$M47,T$1)&gt;0,$B47,0)</f>
        <v>0</v>
      </c>
      <c r="U47" s="2">
        <f>IF(COUNTIF(Roster!$D47:$M47,U$1)&gt;0,$B47,0)</f>
        <v>1</v>
      </c>
      <c r="V47" s="2">
        <f>IF(COUNTIF(Roster!$D47:$M47,V$1)&gt;0,$B47,0)</f>
        <v>0</v>
      </c>
      <c r="W47" s="2">
        <f>IF(COUNTIF(Roster!$D47:$M47,W$1)&gt;0,$B47,0)</f>
        <v>0</v>
      </c>
      <c r="X47" s="2">
        <f t="shared" si="0"/>
        <v>5</v>
      </c>
    </row>
    <row r="48" spans="1:24" ht="15" customHeight="1" x14ac:dyDescent="0.3">
      <c r="A48" s="2">
        <f>Roster!A48</f>
        <v>47</v>
      </c>
      <c r="B48" s="2">
        <f>Roster!C48</f>
        <v>1</v>
      </c>
      <c r="C48" s="2">
        <f>IF(COUNTIF(Roster!$D48:$M48,C$1)&gt;0,$B48,0)</f>
        <v>1</v>
      </c>
      <c r="D48" s="2">
        <f>IF(COUNTIF(Roster!$D48:$M48,D$1)&gt;0,$B48,0)</f>
        <v>1</v>
      </c>
      <c r="E48" s="2">
        <f>IF(COUNTIF(Roster!$D48:$M48,E$1)&gt;0,$B48,0)</f>
        <v>1</v>
      </c>
      <c r="F48" s="2">
        <f>IF(COUNTIF(Roster!$D48:$M48,F$1)&gt;0,$B48,0)</f>
        <v>1</v>
      </c>
      <c r="G48" s="2">
        <f>IF(COUNTIF(Roster!$D48:$M48,G$1)&gt;0,$B48,0)</f>
        <v>0</v>
      </c>
      <c r="H48" s="2">
        <f>IF(COUNTIF(Roster!$D48:$M48,H$1)&gt;0,$B48,0)</f>
        <v>0</v>
      </c>
      <c r="I48" s="2">
        <f>IF(COUNTIF(Roster!$D48:$M48,I$1)&gt;0,$B48,0)</f>
        <v>0</v>
      </c>
      <c r="J48" s="2">
        <f>IF(COUNTIF(Roster!$D48:$M48,J$1)&gt;0,$B48,0)</f>
        <v>1</v>
      </c>
      <c r="K48" s="2">
        <f>IF(COUNTIF(Roster!$D48:$M48,K$1)&gt;0,$B48,0)</f>
        <v>0</v>
      </c>
      <c r="L48" s="2">
        <f>IF(COUNTIF(Roster!$D48:$M48,L$1)&gt;0,$B48,0)</f>
        <v>0</v>
      </c>
      <c r="M48" s="2">
        <f>IF(COUNTIF(Roster!$D48:$M48,M$1)&gt;0,$B48,0)</f>
        <v>0</v>
      </c>
      <c r="N48" s="2">
        <f>IF(COUNTIF(Roster!$D48:$M48,N$1)&gt;0,$B48,0)</f>
        <v>1</v>
      </c>
      <c r="O48" s="2">
        <f>IF(COUNTIF(Roster!$D48:$M48,O$1)&gt;0,$B48,0)</f>
        <v>0</v>
      </c>
      <c r="P48" s="2">
        <f>IF(COUNTIF(Roster!$D48:$M48,P$1)&gt;0,$B48,0)</f>
        <v>0</v>
      </c>
      <c r="Q48" s="2">
        <f>IF(COUNTIF(Roster!$D48:$M48,Q$1)&gt;0,$B48,0)</f>
        <v>0</v>
      </c>
      <c r="R48" s="2">
        <f>IF(COUNTIF(Roster!$D48:$M48,R$1)&gt;0,$B48,0)</f>
        <v>0</v>
      </c>
      <c r="S48" s="2">
        <f>IF(COUNTIF(Roster!$D48:$M48,S$1)&gt;0,$B48,0)</f>
        <v>0</v>
      </c>
      <c r="T48" s="2">
        <f>IF(COUNTIF(Roster!$D48:$M48,T$1)&gt;0,$B48,0)</f>
        <v>0</v>
      </c>
      <c r="U48" s="2">
        <f>IF(COUNTIF(Roster!$D48:$M48,U$1)&gt;0,$B48,0)</f>
        <v>0</v>
      </c>
      <c r="V48" s="2">
        <f>IF(COUNTIF(Roster!$D48:$M48,V$1)&gt;0,$B48,0)</f>
        <v>1</v>
      </c>
      <c r="W48" s="2">
        <f>IF(COUNTIF(Roster!$D48:$M48,W$1)&gt;0,$B48,0)</f>
        <v>1</v>
      </c>
      <c r="X48" s="2">
        <f t="shared" si="0"/>
        <v>4</v>
      </c>
    </row>
    <row r="49" spans="1:24" ht="15" customHeight="1" x14ac:dyDescent="0.3">
      <c r="A49" s="2">
        <f>Roster!A49</f>
        <v>48</v>
      </c>
      <c r="B49" s="2">
        <f>Roster!C49</f>
        <v>1</v>
      </c>
      <c r="C49" s="2">
        <f>IF(COUNTIF(Roster!$D49:$M49,C$1)&gt;0,$B49,0)</f>
        <v>1</v>
      </c>
      <c r="D49" s="2">
        <f>IF(COUNTIF(Roster!$D49:$M49,D$1)&gt;0,$B49,0)</f>
        <v>1</v>
      </c>
      <c r="E49" s="2">
        <f>IF(COUNTIF(Roster!$D49:$M49,E$1)&gt;0,$B49,0)</f>
        <v>1</v>
      </c>
      <c r="F49" s="2">
        <f>IF(COUNTIF(Roster!$D49:$M49,F$1)&gt;0,$B49,0)</f>
        <v>1</v>
      </c>
      <c r="G49" s="2">
        <f>IF(COUNTIF(Roster!$D49:$M49,G$1)&gt;0,$B49,0)</f>
        <v>0</v>
      </c>
      <c r="H49" s="2">
        <f>IF(COUNTIF(Roster!$D49:$M49,H$1)&gt;0,$B49,0)</f>
        <v>1</v>
      </c>
      <c r="I49" s="2">
        <f>IF(COUNTIF(Roster!$D49:$M49,I$1)&gt;0,$B49,0)</f>
        <v>1</v>
      </c>
      <c r="J49" s="2">
        <f>IF(COUNTIF(Roster!$D49:$M49,J$1)&gt;0,$B49,0)</f>
        <v>1</v>
      </c>
      <c r="K49" s="2">
        <f>IF(COUNTIF(Roster!$D49:$M49,K$1)&gt;0,$B49,0)</f>
        <v>1</v>
      </c>
      <c r="L49" s="2">
        <f>IF(COUNTIF(Roster!$D49:$M49,L$1)&gt;0,$B49,0)</f>
        <v>0</v>
      </c>
      <c r="M49" s="2">
        <f>IF(COUNTIF(Roster!$D49:$M49,M$1)&gt;0,$B49,0)</f>
        <v>0</v>
      </c>
      <c r="N49" s="2">
        <f>IF(COUNTIF(Roster!$D49:$M49,N$1)&gt;0,$B49,0)</f>
        <v>0</v>
      </c>
      <c r="O49" s="2">
        <f>IF(COUNTIF(Roster!$D49:$M49,O$1)&gt;0,$B49,0)</f>
        <v>0</v>
      </c>
      <c r="P49" s="2">
        <f>IF(COUNTIF(Roster!$D49:$M49,P$1)&gt;0,$B49,0)</f>
        <v>0</v>
      </c>
      <c r="Q49" s="2">
        <f>IF(COUNTIF(Roster!$D49:$M49,Q$1)&gt;0,$B49,0)</f>
        <v>0</v>
      </c>
      <c r="R49" s="2">
        <f>IF(COUNTIF(Roster!$D49:$M49,R$1)&gt;0,$B49,0)</f>
        <v>0</v>
      </c>
      <c r="S49" s="2">
        <f>IF(COUNTIF(Roster!$D49:$M49,S$1)&gt;0,$B49,0)</f>
        <v>0</v>
      </c>
      <c r="T49" s="2">
        <f>IF(COUNTIF(Roster!$D49:$M49,T$1)&gt;0,$B49,0)</f>
        <v>0</v>
      </c>
      <c r="U49" s="2">
        <f>IF(COUNTIF(Roster!$D49:$M49,U$1)&gt;0,$B49,0)</f>
        <v>0</v>
      </c>
      <c r="V49" s="2">
        <f>IF(COUNTIF(Roster!$D49:$M49,V$1)&gt;0,$B49,0)</f>
        <v>0</v>
      </c>
      <c r="W49" s="2">
        <f>IF(COUNTIF(Roster!$D49:$M49,W$1)&gt;0,$B49,0)</f>
        <v>0</v>
      </c>
      <c r="X49" s="2">
        <f t="shared" si="0"/>
        <v>4</v>
      </c>
    </row>
    <row r="50" spans="1:24" ht="15" customHeight="1" x14ac:dyDescent="0.3">
      <c r="A50" s="2">
        <f>Roster!A50</f>
        <v>49</v>
      </c>
      <c r="B50" s="2">
        <f>Roster!C50</f>
        <v>1</v>
      </c>
      <c r="C50" s="2">
        <f>IF(COUNTIF(Roster!$D50:$M50,C$1)&gt;0,$B50,0)</f>
        <v>1</v>
      </c>
      <c r="D50" s="2">
        <f>IF(COUNTIF(Roster!$D50:$M50,D$1)&gt;0,$B50,0)</f>
        <v>1</v>
      </c>
      <c r="E50" s="2">
        <f>IF(COUNTIF(Roster!$D50:$M50,E$1)&gt;0,$B50,0)</f>
        <v>1</v>
      </c>
      <c r="F50" s="2">
        <f>IF(COUNTIF(Roster!$D50:$M50,F$1)&gt;0,$B50,0)</f>
        <v>1</v>
      </c>
      <c r="G50" s="2">
        <f>IF(COUNTIF(Roster!$D50:$M50,G$1)&gt;0,$B50,0)</f>
        <v>0</v>
      </c>
      <c r="H50" s="2">
        <f>IF(COUNTIF(Roster!$D50:$M50,H$1)&gt;0,$B50,0)</f>
        <v>0</v>
      </c>
      <c r="I50" s="2">
        <f>IF(COUNTIF(Roster!$D50:$M50,I$1)&gt;0,$B50,0)</f>
        <v>0</v>
      </c>
      <c r="J50" s="2">
        <f>IF(COUNTIF(Roster!$D50:$M50,J$1)&gt;0,$B50,0)</f>
        <v>0</v>
      </c>
      <c r="K50" s="2">
        <f>IF(COUNTIF(Roster!$D50:$M50,K$1)&gt;0,$B50,0)</f>
        <v>0</v>
      </c>
      <c r="L50" s="2">
        <f>IF(COUNTIF(Roster!$D50:$M50,L$1)&gt;0,$B50,0)</f>
        <v>0</v>
      </c>
      <c r="M50" s="2">
        <f>IF(COUNTIF(Roster!$D50:$M50,M$1)&gt;0,$B50,0)</f>
        <v>1</v>
      </c>
      <c r="N50" s="2">
        <f>IF(COUNTIF(Roster!$D50:$M50,N$1)&gt;0,$B50,0)</f>
        <v>1</v>
      </c>
      <c r="O50" s="2">
        <f>IF(COUNTIF(Roster!$D50:$M50,O$1)&gt;0,$B50,0)</f>
        <v>0</v>
      </c>
      <c r="P50" s="2">
        <f>IF(COUNTIF(Roster!$D50:$M50,P$1)&gt;0,$B50,0)</f>
        <v>0</v>
      </c>
      <c r="Q50" s="2">
        <f>IF(COUNTIF(Roster!$D50:$M50,Q$1)&gt;0,$B50,0)</f>
        <v>0</v>
      </c>
      <c r="R50" s="2">
        <f>IF(COUNTIF(Roster!$D50:$M50,R$1)&gt;0,$B50,0)</f>
        <v>0</v>
      </c>
      <c r="S50" s="2">
        <f>IF(COUNTIF(Roster!$D50:$M50,S$1)&gt;0,$B50,0)</f>
        <v>0</v>
      </c>
      <c r="T50" s="2">
        <f>IF(COUNTIF(Roster!$D50:$M50,T$1)&gt;0,$B50,0)</f>
        <v>1</v>
      </c>
      <c r="U50" s="2">
        <f>IF(COUNTIF(Roster!$D50:$M50,U$1)&gt;0,$B50,0)</f>
        <v>0</v>
      </c>
      <c r="V50" s="2">
        <f>IF(COUNTIF(Roster!$D50:$M50,V$1)&gt;0,$B50,0)</f>
        <v>1</v>
      </c>
      <c r="W50" s="2">
        <f>IF(COUNTIF(Roster!$D50:$M50,W$1)&gt;0,$B50,0)</f>
        <v>1</v>
      </c>
      <c r="X50" s="2">
        <f t="shared" si="0"/>
        <v>5</v>
      </c>
    </row>
    <row r="51" spans="1:24" ht="15" customHeight="1" x14ac:dyDescent="0.3">
      <c r="A51" s="2">
        <f>Roster!A51</f>
        <v>50</v>
      </c>
      <c r="B51" s="2">
        <f>Roster!C51</f>
        <v>1</v>
      </c>
      <c r="C51" s="2">
        <f>IF(COUNTIF(Roster!$D51:$M51,C$1)&gt;0,$B51,0)</f>
        <v>1</v>
      </c>
      <c r="D51" s="2">
        <f>IF(COUNTIF(Roster!$D51:$M51,D$1)&gt;0,$B51,0)</f>
        <v>1</v>
      </c>
      <c r="E51" s="2">
        <f>IF(COUNTIF(Roster!$D51:$M51,E$1)&gt;0,$B51,0)</f>
        <v>1</v>
      </c>
      <c r="F51" s="2">
        <f>IF(COUNTIF(Roster!$D51:$M51,F$1)&gt;0,$B51,0)</f>
        <v>1</v>
      </c>
      <c r="G51" s="2">
        <f>IF(COUNTIF(Roster!$D51:$M51,G$1)&gt;0,$B51,0)</f>
        <v>0</v>
      </c>
      <c r="H51" s="2">
        <f>IF(COUNTIF(Roster!$D51:$M51,H$1)&gt;0,$B51,0)</f>
        <v>0</v>
      </c>
      <c r="I51" s="2">
        <f>IF(COUNTIF(Roster!$D51:$M51,I$1)&gt;0,$B51,0)</f>
        <v>1</v>
      </c>
      <c r="J51" s="2">
        <f>IF(COUNTIF(Roster!$D51:$M51,J$1)&gt;0,$B51,0)</f>
        <v>1</v>
      </c>
      <c r="K51" s="2">
        <f>IF(COUNTIF(Roster!$D51:$M51,K$1)&gt;0,$B51,0)</f>
        <v>0</v>
      </c>
      <c r="L51" s="2">
        <f>IF(COUNTIF(Roster!$D51:$M51,L$1)&gt;0,$B51,0)</f>
        <v>0</v>
      </c>
      <c r="M51" s="2">
        <f>IF(COUNTIF(Roster!$D51:$M51,M$1)&gt;0,$B51,0)</f>
        <v>0</v>
      </c>
      <c r="N51" s="2">
        <f>IF(COUNTIF(Roster!$D51:$M51,N$1)&gt;0,$B51,0)</f>
        <v>0</v>
      </c>
      <c r="O51" s="2">
        <f>IF(COUNTIF(Roster!$D51:$M51,O$1)&gt;0,$B51,0)</f>
        <v>0</v>
      </c>
      <c r="P51" s="2">
        <f>IF(COUNTIF(Roster!$D51:$M51,P$1)&gt;0,$B51,0)</f>
        <v>0</v>
      </c>
      <c r="Q51" s="2">
        <f>IF(COUNTIF(Roster!$D51:$M51,Q$1)&gt;0,$B51,0)</f>
        <v>0</v>
      </c>
      <c r="R51" s="2">
        <f>IF(COUNTIF(Roster!$D51:$M51,R$1)&gt;0,$B51,0)</f>
        <v>0</v>
      </c>
      <c r="S51" s="2">
        <f>IF(COUNTIF(Roster!$D51:$M51,S$1)&gt;0,$B51,0)</f>
        <v>1</v>
      </c>
      <c r="T51" s="2">
        <f>IF(COUNTIF(Roster!$D51:$M51,T$1)&gt;0,$B51,0)</f>
        <v>0</v>
      </c>
      <c r="U51" s="2">
        <f>IF(COUNTIF(Roster!$D51:$M51,U$1)&gt;0,$B51,0)</f>
        <v>1</v>
      </c>
      <c r="V51" s="2">
        <f>IF(COUNTIF(Roster!$D51:$M51,V$1)&gt;0,$B51,0)</f>
        <v>1</v>
      </c>
      <c r="W51" s="2">
        <f>IF(COUNTIF(Roster!$D51:$M51,W$1)&gt;0,$B51,0)</f>
        <v>0</v>
      </c>
      <c r="X51" s="2">
        <f t="shared" si="0"/>
        <v>5</v>
      </c>
    </row>
    <row r="52" spans="1:24" ht="15" customHeight="1" x14ac:dyDescent="0.3">
      <c r="A52" s="2">
        <f>Roster!A52</f>
        <v>51</v>
      </c>
      <c r="B52" s="2">
        <f>Roster!C52</f>
        <v>1</v>
      </c>
      <c r="C52" s="2">
        <f>IF(COUNTIF(Roster!$D52:$M52,C$1)&gt;0,$B52,0)</f>
        <v>1</v>
      </c>
      <c r="D52" s="2">
        <f>IF(COUNTIF(Roster!$D52:$M52,D$1)&gt;0,$B52,0)</f>
        <v>1</v>
      </c>
      <c r="E52" s="2">
        <f>IF(COUNTIF(Roster!$D52:$M52,E$1)&gt;0,$B52,0)</f>
        <v>1</v>
      </c>
      <c r="F52" s="2">
        <f>IF(COUNTIF(Roster!$D52:$M52,F$1)&gt;0,$B52,0)</f>
        <v>1</v>
      </c>
      <c r="G52" s="2">
        <f>IF(COUNTIF(Roster!$D52:$M52,G$1)&gt;0,$B52,0)</f>
        <v>0</v>
      </c>
      <c r="H52" s="2">
        <f>IF(COUNTIF(Roster!$D52:$M52,H$1)&gt;0,$B52,0)</f>
        <v>1</v>
      </c>
      <c r="I52" s="2">
        <f>IF(COUNTIF(Roster!$D52:$M52,I$1)&gt;0,$B52,0)</f>
        <v>1</v>
      </c>
      <c r="J52" s="2">
        <f>IF(COUNTIF(Roster!$D52:$M52,J$1)&gt;0,$B52,0)</f>
        <v>1</v>
      </c>
      <c r="K52" s="2">
        <f>IF(COUNTIF(Roster!$D52:$M52,K$1)&gt;0,$B52,0)</f>
        <v>0</v>
      </c>
      <c r="L52" s="2">
        <f>IF(COUNTIF(Roster!$D52:$M52,L$1)&gt;0,$B52,0)</f>
        <v>0</v>
      </c>
      <c r="M52" s="2">
        <f>IF(COUNTIF(Roster!$D52:$M52,M$1)&gt;0,$B52,0)</f>
        <v>1</v>
      </c>
      <c r="N52" s="2">
        <f>IF(COUNTIF(Roster!$D52:$M52,N$1)&gt;0,$B52,0)</f>
        <v>0</v>
      </c>
      <c r="O52" s="2">
        <f>IF(COUNTIF(Roster!$D52:$M52,O$1)&gt;0,$B52,0)</f>
        <v>0</v>
      </c>
      <c r="P52" s="2">
        <f>IF(COUNTIF(Roster!$D52:$M52,P$1)&gt;0,$B52,0)</f>
        <v>0</v>
      </c>
      <c r="Q52" s="2">
        <f>IF(COUNTIF(Roster!$D52:$M52,Q$1)&gt;0,$B52,0)</f>
        <v>0</v>
      </c>
      <c r="R52" s="2">
        <f>IF(COUNTIF(Roster!$D52:$M52,R$1)&gt;0,$B52,0)</f>
        <v>0</v>
      </c>
      <c r="S52" s="2">
        <f>IF(COUNTIF(Roster!$D52:$M52,S$1)&gt;0,$B52,0)</f>
        <v>0</v>
      </c>
      <c r="T52" s="2">
        <f>IF(COUNTIF(Roster!$D52:$M52,T$1)&gt;0,$B52,0)</f>
        <v>0</v>
      </c>
      <c r="U52" s="2">
        <f>IF(COUNTIF(Roster!$D52:$M52,U$1)&gt;0,$B52,0)</f>
        <v>0</v>
      </c>
      <c r="V52" s="2">
        <f>IF(COUNTIF(Roster!$D52:$M52,V$1)&gt;0,$B52,0)</f>
        <v>0</v>
      </c>
      <c r="W52" s="2">
        <f>IF(COUNTIF(Roster!$D52:$M52,W$1)&gt;0,$B52,0)</f>
        <v>0</v>
      </c>
      <c r="X52" s="2">
        <f t="shared" si="0"/>
        <v>4</v>
      </c>
    </row>
    <row r="53" spans="1:24" ht="15" customHeight="1" x14ac:dyDescent="0.3">
      <c r="A53" s="2">
        <f>Roster!A53</f>
        <v>52</v>
      </c>
      <c r="B53" s="2">
        <f>Roster!C53</f>
        <v>1</v>
      </c>
      <c r="C53" s="2">
        <f>IF(COUNTIF(Roster!$D53:$M53,C$1)&gt;0,$B53,0)</f>
        <v>1</v>
      </c>
      <c r="D53" s="2">
        <f>IF(COUNTIF(Roster!$D53:$M53,D$1)&gt;0,$B53,0)</f>
        <v>1</v>
      </c>
      <c r="E53" s="2">
        <f>IF(COUNTIF(Roster!$D53:$M53,E$1)&gt;0,$B53,0)</f>
        <v>1</v>
      </c>
      <c r="F53" s="2">
        <f>IF(COUNTIF(Roster!$D53:$M53,F$1)&gt;0,$B53,0)</f>
        <v>1</v>
      </c>
      <c r="G53" s="2">
        <f>IF(COUNTIF(Roster!$D53:$M53,G$1)&gt;0,$B53,0)</f>
        <v>0</v>
      </c>
      <c r="H53" s="2">
        <f>IF(COUNTIF(Roster!$D53:$M53,H$1)&gt;0,$B53,0)</f>
        <v>1</v>
      </c>
      <c r="I53" s="2">
        <f>IF(COUNTIF(Roster!$D53:$M53,I$1)&gt;0,$B53,0)</f>
        <v>1</v>
      </c>
      <c r="J53" s="2">
        <f>IF(COUNTIF(Roster!$D53:$M53,J$1)&gt;0,$B53,0)</f>
        <v>1</v>
      </c>
      <c r="K53" s="2">
        <f>IF(COUNTIF(Roster!$D53:$M53,K$1)&gt;0,$B53,0)</f>
        <v>0</v>
      </c>
      <c r="L53" s="2">
        <f>IF(COUNTIF(Roster!$D53:$M53,L$1)&gt;0,$B53,0)</f>
        <v>0</v>
      </c>
      <c r="M53" s="2">
        <f>IF(COUNTIF(Roster!$D53:$M53,M$1)&gt;0,$B53,0)</f>
        <v>0</v>
      </c>
      <c r="N53" s="2">
        <f>IF(COUNTIF(Roster!$D53:$M53,N$1)&gt;0,$B53,0)</f>
        <v>0</v>
      </c>
      <c r="O53" s="2">
        <f>IF(COUNTIF(Roster!$D53:$M53,O$1)&gt;0,$B53,0)</f>
        <v>0</v>
      </c>
      <c r="P53" s="2">
        <f>IF(COUNTIF(Roster!$D53:$M53,P$1)&gt;0,$B53,0)</f>
        <v>0</v>
      </c>
      <c r="Q53" s="2">
        <f>IF(COUNTIF(Roster!$D53:$M53,Q$1)&gt;0,$B53,0)</f>
        <v>1</v>
      </c>
      <c r="R53" s="2">
        <f>IF(COUNTIF(Roster!$D53:$M53,R$1)&gt;0,$B53,0)</f>
        <v>0</v>
      </c>
      <c r="S53" s="2">
        <f>IF(COUNTIF(Roster!$D53:$M53,S$1)&gt;0,$B53,0)</f>
        <v>0</v>
      </c>
      <c r="T53" s="2">
        <f>IF(COUNTIF(Roster!$D53:$M53,T$1)&gt;0,$B53,0)</f>
        <v>0</v>
      </c>
      <c r="U53" s="2">
        <f>IF(COUNTIF(Roster!$D53:$M53,U$1)&gt;0,$B53,0)</f>
        <v>0</v>
      </c>
      <c r="V53" s="2">
        <f>IF(COUNTIF(Roster!$D53:$M53,V$1)&gt;0,$B53,0)</f>
        <v>0</v>
      </c>
      <c r="W53" s="2">
        <f>IF(COUNTIF(Roster!$D53:$M53,W$1)&gt;0,$B53,0)</f>
        <v>0</v>
      </c>
      <c r="X53" s="2">
        <f t="shared" si="0"/>
        <v>4</v>
      </c>
    </row>
    <row r="54" spans="1:24" ht="15" customHeight="1" x14ac:dyDescent="0.3">
      <c r="A54" s="2">
        <f>Roster!A54</f>
        <v>53</v>
      </c>
      <c r="B54" s="2">
        <f>Roster!C54</f>
        <v>1</v>
      </c>
      <c r="C54" s="2">
        <f>IF(COUNTIF(Roster!$D54:$M54,C$1)&gt;0,$B54,0)</f>
        <v>1</v>
      </c>
      <c r="D54" s="2">
        <f>IF(COUNTIF(Roster!$D54:$M54,D$1)&gt;0,$B54,0)</f>
        <v>1</v>
      </c>
      <c r="E54" s="2">
        <f>IF(COUNTIF(Roster!$D54:$M54,E$1)&gt;0,$B54,0)</f>
        <v>1</v>
      </c>
      <c r="F54" s="2">
        <f>IF(COUNTIF(Roster!$D54:$M54,F$1)&gt;0,$B54,0)</f>
        <v>0</v>
      </c>
      <c r="G54" s="2">
        <f>IF(COUNTIF(Roster!$D54:$M54,G$1)&gt;0,$B54,0)</f>
        <v>1</v>
      </c>
      <c r="H54" s="2">
        <f>IF(COUNTIF(Roster!$D54:$M54,H$1)&gt;0,$B54,0)</f>
        <v>0</v>
      </c>
      <c r="I54" s="2">
        <f>IF(COUNTIF(Roster!$D54:$M54,I$1)&gt;0,$B54,0)</f>
        <v>0</v>
      </c>
      <c r="J54" s="2">
        <f>IF(COUNTIF(Roster!$D54:$M54,J$1)&gt;0,$B54,0)</f>
        <v>0</v>
      </c>
      <c r="K54" s="2">
        <f>IF(COUNTIF(Roster!$D54:$M54,K$1)&gt;0,$B54,0)</f>
        <v>0</v>
      </c>
      <c r="L54" s="2">
        <f>IF(COUNTIF(Roster!$D54:$M54,L$1)&gt;0,$B54,0)</f>
        <v>0</v>
      </c>
      <c r="M54" s="2">
        <f>IF(COUNTIF(Roster!$D54:$M54,M$1)&gt;0,$B54,0)</f>
        <v>1</v>
      </c>
      <c r="N54" s="2">
        <f>IF(COUNTIF(Roster!$D54:$M54,N$1)&gt;0,$B54,0)</f>
        <v>0</v>
      </c>
      <c r="O54" s="2">
        <f>IF(COUNTIF(Roster!$D54:$M54,O$1)&gt;0,$B54,0)</f>
        <v>0</v>
      </c>
      <c r="P54" s="2">
        <f>IF(COUNTIF(Roster!$D54:$M54,P$1)&gt;0,$B54,0)</f>
        <v>1</v>
      </c>
      <c r="Q54" s="2">
        <f>IF(COUNTIF(Roster!$D54:$M54,Q$1)&gt;0,$B54,0)</f>
        <v>0</v>
      </c>
      <c r="R54" s="2">
        <f>IF(COUNTIF(Roster!$D54:$M54,R$1)&gt;0,$B54,0)</f>
        <v>0</v>
      </c>
      <c r="S54" s="2">
        <f>IF(COUNTIF(Roster!$D54:$M54,S$1)&gt;0,$B54,0)</f>
        <v>0</v>
      </c>
      <c r="T54" s="2">
        <f>IF(COUNTIF(Roster!$D54:$M54,T$1)&gt;0,$B54,0)</f>
        <v>0</v>
      </c>
      <c r="U54" s="2">
        <f>IF(COUNTIF(Roster!$D54:$M54,U$1)&gt;0,$B54,0)</f>
        <v>0</v>
      </c>
      <c r="V54" s="2">
        <f>IF(COUNTIF(Roster!$D54:$M54,V$1)&gt;0,$B54,0)</f>
        <v>1</v>
      </c>
      <c r="W54" s="2">
        <f>IF(COUNTIF(Roster!$D54:$M54,W$1)&gt;0,$B54,0)</f>
        <v>1</v>
      </c>
      <c r="X54" s="2">
        <f t="shared" si="0"/>
        <v>4</v>
      </c>
    </row>
    <row r="55" spans="1:24" ht="15" customHeight="1" x14ac:dyDescent="0.3">
      <c r="A55" s="2">
        <f>Roster!A55</f>
        <v>54</v>
      </c>
      <c r="B55" s="2">
        <f>Roster!C55</f>
        <v>1</v>
      </c>
      <c r="C55" s="2">
        <f>IF(COUNTIF(Roster!$D55:$M55,C$1)&gt;0,$B55,0)</f>
        <v>1</v>
      </c>
      <c r="D55" s="2">
        <f>IF(COUNTIF(Roster!$D55:$M55,D$1)&gt;0,$B55,0)</f>
        <v>1</v>
      </c>
      <c r="E55" s="2">
        <f>IF(COUNTIF(Roster!$D55:$M55,E$1)&gt;0,$B55,0)</f>
        <v>1</v>
      </c>
      <c r="F55" s="2">
        <f>IF(COUNTIF(Roster!$D55:$M55,F$1)&gt;0,$B55,0)</f>
        <v>0</v>
      </c>
      <c r="G55" s="2">
        <f>IF(COUNTIF(Roster!$D55:$M55,G$1)&gt;0,$B55,0)</f>
        <v>1</v>
      </c>
      <c r="H55" s="2">
        <f>IF(COUNTIF(Roster!$D55:$M55,H$1)&gt;0,$B55,0)</f>
        <v>0</v>
      </c>
      <c r="I55" s="2">
        <f>IF(COUNTIF(Roster!$D55:$M55,I$1)&gt;0,$B55,0)</f>
        <v>1</v>
      </c>
      <c r="J55" s="2">
        <f>IF(COUNTIF(Roster!$D55:$M55,J$1)&gt;0,$B55,0)</f>
        <v>1</v>
      </c>
      <c r="K55" s="2">
        <f>IF(COUNTIF(Roster!$D55:$M55,K$1)&gt;0,$B55,0)</f>
        <v>1</v>
      </c>
      <c r="L55" s="2">
        <f>IF(COUNTIF(Roster!$D55:$M55,L$1)&gt;0,$B55,0)</f>
        <v>1</v>
      </c>
      <c r="M55" s="2">
        <f>IF(COUNTIF(Roster!$D55:$M55,M$1)&gt;0,$B55,0)</f>
        <v>1</v>
      </c>
      <c r="N55" s="2">
        <f>IF(COUNTIF(Roster!$D55:$M55,N$1)&gt;0,$B55,0)</f>
        <v>0</v>
      </c>
      <c r="O55" s="2">
        <f>IF(COUNTIF(Roster!$D55:$M55,O$1)&gt;0,$B55,0)</f>
        <v>0</v>
      </c>
      <c r="P55" s="2">
        <f>IF(COUNTIF(Roster!$D55:$M55,P$1)&gt;0,$B55,0)</f>
        <v>0</v>
      </c>
      <c r="Q55" s="2">
        <f>IF(COUNTIF(Roster!$D55:$M55,Q$1)&gt;0,$B55,0)</f>
        <v>0</v>
      </c>
      <c r="R55" s="2">
        <f>IF(COUNTIF(Roster!$D55:$M55,R$1)&gt;0,$B55,0)</f>
        <v>0</v>
      </c>
      <c r="S55" s="2">
        <f>IF(COUNTIF(Roster!$D55:$M55,S$1)&gt;0,$B55,0)</f>
        <v>0</v>
      </c>
      <c r="T55" s="2">
        <f>IF(COUNTIF(Roster!$D55:$M55,T$1)&gt;0,$B55,0)</f>
        <v>0</v>
      </c>
      <c r="U55" s="2">
        <f>IF(COUNTIF(Roster!$D55:$M55,U$1)&gt;0,$B55,0)</f>
        <v>0</v>
      </c>
      <c r="V55" s="2">
        <f>IF(COUNTIF(Roster!$D55:$M55,V$1)&gt;0,$B55,0)</f>
        <v>0</v>
      </c>
      <c r="W55" s="2">
        <f>IF(COUNTIF(Roster!$D55:$M55,W$1)&gt;0,$B55,0)</f>
        <v>0</v>
      </c>
      <c r="X55" s="2">
        <f t="shared" si="0"/>
        <v>5</v>
      </c>
    </row>
    <row r="56" spans="1:24" ht="15" customHeight="1" x14ac:dyDescent="0.3">
      <c r="A56" s="2">
        <f>Roster!A56</f>
        <v>55</v>
      </c>
      <c r="B56" s="2">
        <f>Roster!C56</f>
        <v>1</v>
      </c>
      <c r="C56" s="2">
        <f>IF(COUNTIF(Roster!$D56:$M56,C$1)&gt;0,$B56,0)</f>
        <v>1</v>
      </c>
      <c r="D56" s="2">
        <f>IF(COUNTIF(Roster!$D56:$M56,D$1)&gt;0,$B56,0)</f>
        <v>1</v>
      </c>
      <c r="E56" s="2">
        <f>IF(COUNTIF(Roster!$D56:$M56,E$1)&gt;0,$B56,0)</f>
        <v>1</v>
      </c>
      <c r="F56" s="2">
        <f>IF(COUNTIF(Roster!$D56:$M56,F$1)&gt;0,$B56,0)</f>
        <v>0</v>
      </c>
      <c r="G56" s="2">
        <f>IF(COUNTIF(Roster!$D56:$M56,G$1)&gt;0,$B56,0)</f>
        <v>1</v>
      </c>
      <c r="H56" s="2">
        <f>IF(COUNTIF(Roster!$D56:$M56,H$1)&gt;0,$B56,0)</f>
        <v>0</v>
      </c>
      <c r="I56" s="2">
        <f>IF(COUNTIF(Roster!$D56:$M56,I$1)&gt;0,$B56,0)</f>
        <v>1</v>
      </c>
      <c r="J56" s="2">
        <f>IF(COUNTIF(Roster!$D56:$M56,J$1)&gt;0,$B56,0)</f>
        <v>1</v>
      </c>
      <c r="K56" s="2">
        <f>IF(COUNTIF(Roster!$D56:$M56,K$1)&gt;0,$B56,0)</f>
        <v>0</v>
      </c>
      <c r="L56" s="2">
        <f>IF(COUNTIF(Roster!$D56:$M56,L$1)&gt;0,$B56,0)</f>
        <v>0</v>
      </c>
      <c r="M56" s="2">
        <f>IF(COUNTIF(Roster!$D56:$M56,M$1)&gt;0,$B56,0)</f>
        <v>0</v>
      </c>
      <c r="N56" s="2">
        <f>IF(COUNTIF(Roster!$D56:$M56,N$1)&gt;0,$B56,0)</f>
        <v>0</v>
      </c>
      <c r="O56" s="2">
        <f>IF(COUNTIF(Roster!$D56:$M56,O$1)&gt;0,$B56,0)</f>
        <v>0</v>
      </c>
      <c r="P56" s="2">
        <f>IF(COUNTIF(Roster!$D56:$M56,P$1)&gt;0,$B56,0)</f>
        <v>1</v>
      </c>
      <c r="Q56" s="2">
        <f>IF(COUNTIF(Roster!$D56:$M56,Q$1)&gt;0,$B56,0)</f>
        <v>0</v>
      </c>
      <c r="R56" s="2">
        <f>IF(COUNTIF(Roster!$D56:$M56,R$1)&gt;0,$B56,0)</f>
        <v>0</v>
      </c>
      <c r="S56" s="2">
        <f>IF(COUNTIF(Roster!$D56:$M56,S$1)&gt;0,$B56,0)</f>
        <v>0</v>
      </c>
      <c r="T56" s="2">
        <f>IF(COUNTIF(Roster!$D56:$M56,T$1)&gt;0,$B56,0)</f>
        <v>0</v>
      </c>
      <c r="U56" s="2">
        <f>IF(COUNTIF(Roster!$D56:$M56,U$1)&gt;0,$B56,0)</f>
        <v>0</v>
      </c>
      <c r="V56" s="2">
        <f>IF(COUNTIF(Roster!$D56:$M56,V$1)&gt;0,$B56,0)</f>
        <v>1</v>
      </c>
      <c r="W56" s="2">
        <f>IF(COUNTIF(Roster!$D56:$M56,W$1)&gt;0,$B56,0)</f>
        <v>0</v>
      </c>
      <c r="X56" s="2">
        <f t="shared" si="0"/>
        <v>4</v>
      </c>
    </row>
    <row r="57" spans="1:24" ht="15" customHeight="1" x14ac:dyDescent="0.3">
      <c r="A57" s="2">
        <f>Roster!A57</f>
        <v>56</v>
      </c>
      <c r="B57" s="2">
        <f>Roster!C57</f>
        <v>1</v>
      </c>
      <c r="C57" s="2">
        <f>IF(COUNTIF(Roster!$D57:$M57,C$1)&gt;0,$B57,0)</f>
        <v>1</v>
      </c>
      <c r="D57" s="2">
        <f>IF(COUNTIF(Roster!$D57:$M57,D$1)&gt;0,$B57,0)</f>
        <v>1</v>
      </c>
      <c r="E57" s="2">
        <f>IF(COUNTIF(Roster!$D57:$M57,E$1)&gt;0,$B57,0)</f>
        <v>1</v>
      </c>
      <c r="F57" s="2">
        <f>IF(COUNTIF(Roster!$D57:$M57,F$1)&gt;0,$B57,0)</f>
        <v>1</v>
      </c>
      <c r="G57" s="2">
        <f>IF(COUNTIF(Roster!$D57:$M57,G$1)&gt;0,$B57,0)</f>
        <v>0</v>
      </c>
      <c r="H57" s="2">
        <f>IF(COUNTIF(Roster!$D57:$M57,H$1)&gt;0,$B57,0)</f>
        <v>0</v>
      </c>
      <c r="I57" s="2">
        <f>IF(COUNTIF(Roster!$D57:$M57,I$1)&gt;0,$B57,0)</f>
        <v>1</v>
      </c>
      <c r="J57" s="2">
        <f>IF(COUNTIF(Roster!$D57:$M57,J$1)&gt;0,$B57,0)</f>
        <v>0</v>
      </c>
      <c r="K57" s="2">
        <f>IF(COUNTIF(Roster!$D57:$M57,K$1)&gt;0,$B57,0)</f>
        <v>1</v>
      </c>
      <c r="L57" s="2">
        <f>IF(COUNTIF(Roster!$D57:$M57,L$1)&gt;0,$B57,0)</f>
        <v>0</v>
      </c>
      <c r="M57" s="2">
        <f>IF(COUNTIF(Roster!$D57:$M57,M$1)&gt;0,$B57,0)</f>
        <v>0</v>
      </c>
      <c r="N57" s="2">
        <f>IF(COUNTIF(Roster!$D57:$M57,N$1)&gt;0,$B57,0)</f>
        <v>0</v>
      </c>
      <c r="O57" s="2">
        <f>IF(COUNTIF(Roster!$D57:$M57,O$1)&gt;0,$B57,0)</f>
        <v>0</v>
      </c>
      <c r="P57" s="2">
        <f>IF(COUNTIF(Roster!$D57:$M57,P$1)&gt;0,$B57,0)</f>
        <v>0</v>
      </c>
      <c r="Q57" s="2">
        <f>IF(COUNTIF(Roster!$D57:$M57,Q$1)&gt;0,$B57,0)</f>
        <v>0</v>
      </c>
      <c r="R57" s="2">
        <f>IF(COUNTIF(Roster!$D57:$M57,R$1)&gt;0,$B57,0)</f>
        <v>1</v>
      </c>
      <c r="S57" s="2">
        <f>IF(COUNTIF(Roster!$D57:$M57,S$1)&gt;0,$B57,0)</f>
        <v>0</v>
      </c>
      <c r="T57" s="2">
        <f>IF(COUNTIF(Roster!$D57:$M57,T$1)&gt;0,$B57,0)</f>
        <v>0</v>
      </c>
      <c r="U57" s="2">
        <f>IF(COUNTIF(Roster!$D57:$M57,U$1)&gt;0,$B57,0)</f>
        <v>1</v>
      </c>
      <c r="V57" s="2">
        <f>IF(COUNTIF(Roster!$D57:$M57,V$1)&gt;0,$B57,0)</f>
        <v>0</v>
      </c>
      <c r="W57" s="2">
        <f>IF(COUNTIF(Roster!$D57:$M57,W$1)&gt;0,$B57,0)</f>
        <v>0</v>
      </c>
      <c r="X57" s="2">
        <f t="shared" si="0"/>
        <v>4</v>
      </c>
    </row>
    <row r="58" spans="1:24" ht="15" customHeight="1" x14ac:dyDescent="0.3">
      <c r="A58" s="2">
        <f>Roster!A58</f>
        <v>57</v>
      </c>
      <c r="B58" s="2">
        <f>Roster!C58</f>
        <v>1</v>
      </c>
      <c r="C58" s="2">
        <f>IF(COUNTIF(Roster!$D58:$M58,C$1)&gt;0,$B58,0)</f>
        <v>1</v>
      </c>
      <c r="D58" s="2">
        <f>IF(COUNTIF(Roster!$D58:$M58,D$1)&gt;0,$B58,0)</f>
        <v>1</v>
      </c>
      <c r="E58" s="2">
        <f>IF(COUNTIF(Roster!$D58:$M58,E$1)&gt;0,$B58,0)</f>
        <v>1</v>
      </c>
      <c r="F58" s="2">
        <f>IF(COUNTIF(Roster!$D58:$M58,F$1)&gt;0,$B58,0)</f>
        <v>1</v>
      </c>
      <c r="G58" s="2">
        <f>IF(COUNTIF(Roster!$D58:$M58,G$1)&gt;0,$B58,0)</f>
        <v>0</v>
      </c>
      <c r="H58" s="2">
        <f>IF(COUNTIF(Roster!$D58:$M58,H$1)&gt;0,$B58,0)</f>
        <v>0</v>
      </c>
      <c r="I58" s="2">
        <f>IF(COUNTIF(Roster!$D58:$M58,I$1)&gt;0,$B58,0)</f>
        <v>1</v>
      </c>
      <c r="J58" s="2">
        <f>IF(COUNTIF(Roster!$D58:$M58,J$1)&gt;0,$B58,0)</f>
        <v>1</v>
      </c>
      <c r="K58" s="2">
        <f>IF(COUNTIF(Roster!$D58:$M58,K$1)&gt;0,$B58,0)</f>
        <v>0</v>
      </c>
      <c r="L58" s="2">
        <f>IF(COUNTIF(Roster!$D58:$M58,L$1)&gt;0,$B58,0)</f>
        <v>0</v>
      </c>
      <c r="M58" s="2">
        <f>IF(COUNTIF(Roster!$D58:$M58,M$1)&gt;0,$B58,0)</f>
        <v>0</v>
      </c>
      <c r="N58" s="2">
        <f>IF(COUNTIF(Roster!$D58:$M58,N$1)&gt;0,$B58,0)</f>
        <v>0</v>
      </c>
      <c r="O58" s="2">
        <f>IF(COUNTIF(Roster!$D58:$M58,O$1)&gt;0,$B58,0)</f>
        <v>0</v>
      </c>
      <c r="P58" s="2">
        <f>IF(COUNTIF(Roster!$D58:$M58,P$1)&gt;0,$B58,0)</f>
        <v>0</v>
      </c>
      <c r="Q58" s="2">
        <f>IF(COUNTIF(Roster!$D58:$M58,Q$1)&gt;0,$B58,0)</f>
        <v>0</v>
      </c>
      <c r="R58" s="2">
        <f>IF(COUNTIF(Roster!$D58:$M58,R$1)&gt;0,$B58,0)</f>
        <v>0</v>
      </c>
      <c r="S58" s="2">
        <f>IF(COUNTIF(Roster!$D58:$M58,S$1)&gt;0,$B58,0)</f>
        <v>1</v>
      </c>
      <c r="T58" s="2">
        <f>IF(COUNTIF(Roster!$D58:$M58,T$1)&gt;0,$B58,0)</f>
        <v>0</v>
      </c>
      <c r="U58" s="2">
        <f>IF(COUNTIF(Roster!$D58:$M58,U$1)&gt;0,$B58,0)</f>
        <v>1</v>
      </c>
      <c r="V58" s="2">
        <f>IF(COUNTIF(Roster!$D58:$M58,V$1)&gt;0,$B58,0)</f>
        <v>0</v>
      </c>
      <c r="W58" s="2">
        <f>IF(COUNTIF(Roster!$D58:$M58,W$1)&gt;0,$B58,0)</f>
        <v>0</v>
      </c>
      <c r="X58" s="2">
        <f t="shared" si="0"/>
        <v>4</v>
      </c>
    </row>
    <row r="59" spans="1:24" ht="15" customHeight="1" x14ac:dyDescent="0.3">
      <c r="A59" s="2">
        <f>Roster!A59</f>
        <v>58</v>
      </c>
      <c r="B59" s="2">
        <f>Roster!C59</f>
        <v>1</v>
      </c>
      <c r="C59" s="2">
        <f>IF(COUNTIF(Roster!$D59:$M59,C$1)&gt;0,$B59,0)</f>
        <v>1</v>
      </c>
      <c r="D59" s="2">
        <f>IF(COUNTIF(Roster!$D59:$M59,D$1)&gt;0,$B59,0)</f>
        <v>1</v>
      </c>
      <c r="E59" s="2">
        <f>IF(COUNTIF(Roster!$D59:$M59,E$1)&gt;0,$B59,0)</f>
        <v>1</v>
      </c>
      <c r="F59" s="2">
        <f>IF(COUNTIF(Roster!$D59:$M59,F$1)&gt;0,$B59,0)</f>
        <v>1</v>
      </c>
      <c r="G59" s="2">
        <f>IF(COUNTIF(Roster!$D59:$M59,G$1)&gt;0,$B59,0)</f>
        <v>0</v>
      </c>
      <c r="H59" s="2">
        <f>IF(COUNTIF(Roster!$D59:$M59,H$1)&gt;0,$B59,0)</f>
        <v>0</v>
      </c>
      <c r="I59" s="2">
        <f>IF(COUNTIF(Roster!$D59:$M59,I$1)&gt;0,$B59,0)</f>
        <v>1</v>
      </c>
      <c r="J59" s="2">
        <f>IF(COUNTIF(Roster!$D59:$M59,J$1)&gt;0,$B59,0)</f>
        <v>1</v>
      </c>
      <c r="K59" s="2">
        <f>IF(COUNTIF(Roster!$D59:$M59,K$1)&gt;0,$B59,0)</f>
        <v>1</v>
      </c>
      <c r="L59" s="2">
        <f>IF(COUNTIF(Roster!$D59:$M59,L$1)&gt;0,$B59,0)</f>
        <v>0</v>
      </c>
      <c r="M59" s="2">
        <f>IF(COUNTIF(Roster!$D59:$M59,M$1)&gt;0,$B59,0)</f>
        <v>0</v>
      </c>
      <c r="N59" s="2">
        <f>IF(COUNTIF(Roster!$D59:$M59,N$1)&gt;0,$B59,0)</f>
        <v>0</v>
      </c>
      <c r="O59" s="2">
        <f>IF(COUNTIF(Roster!$D59:$M59,O$1)&gt;0,$B59,0)</f>
        <v>0</v>
      </c>
      <c r="P59" s="2">
        <f>IF(COUNTIF(Roster!$D59:$M59,P$1)&gt;0,$B59,0)</f>
        <v>0</v>
      </c>
      <c r="Q59" s="2">
        <f>IF(COUNTIF(Roster!$D59:$M59,Q$1)&gt;0,$B59,0)</f>
        <v>0</v>
      </c>
      <c r="R59" s="2">
        <f>IF(COUNTIF(Roster!$D59:$M59,R$1)&gt;0,$B59,0)</f>
        <v>0</v>
      </c>
      <c r="S59" s="2">
        <f>IF(COUNTIF(Roster!$D59:$M59,S$1)&gt;0,$B59,0)</f>
        <v>1</v>
      </c>
      <c r="T59" s="2">
        <f>IF(COUNTIF(Roster!$D59:$M59,T$1)&gt;0,$B59,0)</f>
        <v>0</v>
      </c>
      <c r="U59" s="2">
        <f>IF(COUNTIF(Roster!$D59:$M59,U$1)&gt;0,$B59,0)</f>
        <v>1</v>
      </c>
      <c r="V59" s="2">
        <f>IF(COUNTIF(Roster!$D59:$M59,V$1)&gt;0,$B59,0)</f>
        <v>0</v>
      </c>
      <c r="W59" s="2">
        <f>IF(COUNTIF(Roster!$D59:$M59,W$1)&gt;0,$B59,0)</f>
        <v>0</v>
      </c>
      <c r="X59" s="2">
        <f t="shared" si="0"/>
        <v>5</v>
      </c>
    </row>
    <row r="60" spans="1:24" ht="15" customHeight="1" x14ac:dyDescent="0.3">
      <c r="A60" s="2">
        <f>Roster!A60</f>
        <v>59</v>
      </c>
      <c r="B60" s="2">
        <f>Roster!C60</f>
        <v>1</v>
      </c>
      <c r="C60" s="2">
        <f>IF(COUNTIF(Roster!$D60:$M60,C$1)&gt;0,$B60,0)</f>
        <v>1</v>
      </c>
      <c r="D60" s="2">
        <f>IF(COUNTIF(Roster!$D60:$M60,D$1)&gt;0,$B60,0)</f>
        <v>1</v>
      </c>
      <c r="E60" s="2">
        <f>IF(COUNTIF(Roster!$D60:$M60,E$1)&gt;0,$B60,0)</f>
        <v>1</v>
      </c>
      <c r="F60" s="2">
        <f>IF(COUNTIF(Roster!$D60:$M60,F$1)&gt;0,$B60,0)</f>
        <v>1</v>
      </c>
      <c r="G60" s="2">
        <f>IF(COUNTIF(Roster!$D60:$M60,G$1)&gt;0,$B60,0)</f>
        <v>0</v>
      </c>
      <c r="H60" s="2">
        <f>IF(COUNTIF(Roster!$D60:$M60,H$1)&gt;0,$B60,0)</f>
        <v>0</v>
      </c>
      <c r="I60" s="2">
        <f>IF(COUNTIF(Roster!$D60:$M60,I$1)&gt;0,$B60,0)</f>
        <v>1</v>
      </c>
      <c r="J60" s="2">
        <f>IF(COUNTIF(Roster!$D60:$M60,J$1)&gt;0,$B60,0)</f>
        <v>1</v>
      </c>
      <c r="K60" s="2">
        <f>IF(COUNTIF(Roster!$D60:$M60,K$1)&gt;0,$B60,0)</f>
        <v>0</v>
      </c>
      <c r="L60" s="2">
        <f>IF(COUNTIF(Roster!$D60:$M60,L$1)&gt;0,$B60,0)</f>
        <v>1</v>
      </c>
      <c r="M60" s="2">
        <f>IF(COUNTIF(Roster!$D60:$M60,M$1)&gt;0,$B60,0)</f>
        <v>0</v>
      </c>
      <c r="N60" s="2">
        <f>IF(COUNTIF(Roster!$D60:$M60,N$1)&gt;0,$B60,0)</f>
        <v>0</v>
      </c>
      <c r="O60" s="2">
        <f>IF(COUNTIF(Roster!$D60:$M60,O$1)&gt;0,$B60,0)</f>
        <v>0</v>
      </c>
      <c r="P60" s="2">
        <f>IF(COUNTIF(Roster!$D60:$M60,P$1)&gt;0,$B60,0)</f>
        <v>0</v>
      </c>
      <c r="Q60" s="2">
        <f>IF(COUNTIF(Roster!$D60:$M60,Q$1)&gt;0,$B60,0)</f>
        <v>0</v>
      </c>
      <c r="R60" s="2">
        <f>IF(COUNTIF(Roster!$D60:$M60,R$1)&gt;0,$B60,0)</f>
        <v>0</v>
      </c>
      <c r="S60" s="2">
        <f>IF(COUNTIF(Roster!$D60:$M60,S$1)&gt;0,$B60,0)</f>
        <v>1</v>
      </c>
      <c r="T60" s="2">
        <f>IF(COUNTIF(Roster!$D60:$M60,T$1)&gt;0,$B60,0)</f>
        <v>0</v>
      </c>
      <c r="U60" s="2">
        <f>IF(COUNTIF(Roster!$D60:$M60,U$1)&gt;0,$B60,0)</f>
        <v>0</v>
      </c>
      <c r="V60" s="2">
        <f>IF(COUNTIF(Roster!$D60:$M60,V$1)&gt;0,$B60,0)</f>
        <v>0</v>
      </c>
      <c r="W60" s="2">
        <f>IF(COUNTIF(Roster!$D60:$M60,W$1)&gt;0,$B60,0)</f>
        <v>0</v>
      </c>
      <c r="X60" s="2">
        <f t="shared" si="0"/>
        <v>4</v>
      </c>
    </row>
    <row r="61" spans="1:24" ht="15" customHeight="1" x14ac:dyDescent="0.3">
      <c r="A61" s="2">
        <f>Roster!A61</f>
        <v>60</v>
      </c>
      <c r="B61" s="2">
        <f>Roster!C61</f>
        <v>1</v>
      </c>
      <c r="C61" s="2">
        <f>IF(COUNTIF(Roster!$D61:$M61,C$1)&gt;0,$B61,0)</f>
        <v>1</v>
      </c>
      <c r="D61" s="2">
        <f>IF(COUNTIF(Roster!$D61:$M61,D$1)&gt;0,$B61,0)</f>
        <v>1</v>
      </c>
      <c r="E61" s="2">
        <f>IF(COUNTIF(Roster!$D61:$M61,E$1)&gt;0,$B61,0)</f>
        <v>1</v>
      </c>
      <c r="F61" s="2">
        <f>IF(COUNTIF(Roster!$D61:$M61,F$1)&gt;0,$B61,0)</f>
        <v>0</v>
      </c>
      <c r="G61" s="2">
        <f>IF(COUNTIF(Roster!$D61:$M61,G$1)&gt;0,$B61,0)</f>
        <v>1</v>
      </c>
      <c r="H61" s="2">
        <f>IF(COUNTIF(Roster!$D61:$M61,H$1)&gt;0,$B61,0)</f>
        <v>0</v>
      </c>
      <c r="I61" s="2">
        <f>IF(COUNTIF(Roster!$D61:$M61,I$1)&gt;0,$B61,0)</f>
        <v>1</v>
      </c>
      <c r="J61" s="2">
        <f>IF(COUNTIF(Roster!$D61:$M61,J$1)&gt;0,$B61,0)</f>
        <v>1</v>
      </c>
      <c r="K61" s="2">
        <f>IF(COUNTIF(Roster!$D61:$M61,K$1)&gt;0,$B61,0)</f>
        <v>1</v>
      </c>
      <c r="L61" s="2">
        <f>IF(COUNTIF(Roster!$D61:$M61,L$1)&gt;0,$B61,0)</f>
        <v>1</v>
      </c>
      <c r="M61" s="2">
        <f>IF(COUNTIF(Roster!$D61:$M61,M$1)&gt;0,$B61,0)</f>
        <v>0</v>
      </c>
      <c r="N61" s="2">
        <f>IF(COUNTIF(Roster!$D61:$M61,N$1)&gt;0,$B61,0)</f>
        <v>0</v>
      </c>
      <c r="O61" s="2">
        <f>IF(COUNTIF(Roster!$D61:$M61,O$1)&gt;0,$B61,0)</f>
        <v>0</v>
      </c>
      <c r="P61" s="2">
        <f>IF(COUNTIF(Roster!$D61:$M61,P$1)&gt;0,$B61,0)</f>
        <v>0</v>
      </c>
      <c r="Q61" s="2">
        <f>IF(COUNTIF(Roster!$D61:$M61,Q$1)&gt;0,$B61,0)</f>
        <v>0</v>
      </c>
      <c r="R61" s="2">
        <f>IF(COUNTIF(Roster!$D61:$M61,R$1)&gt;0,$B61,0)</f>
        <v>0</v>
      </c>
      <c r="S61" s="2">
        <f>IF(COUNTIF(Roster!$D61:$M61,S$1)&gt;0,$B61,0)</f>
        <v>0</v>
      </c>
      <c r="T61" s="2">
        <f>IF(COUNTIF(Roster!$D61:$M61,T$1)&gt;0,$B61,0)</f>
        <v>0</v>
      </c>
      <c r="U61" s="2">
        <f>IF(COUNTIF(Roster!$D61:$M61,U$1)&gt;0,$B61,0)</f>
        <v>0</v>
      </c>
      <c r="V61" s="2">
        <f>IF(COUNTIF(Roster!$D61:$M61,V$1)&gt;0,$B61,0)</f>
        <v>0</v>
      </c>
      <c r="W61" s="2">
        <f>IF(COUNTIF(Roster!$D61:$M61,W$1)&gt;0,$B61,0)</f>
        <v>0</v>
      </c>
      <c r="X61" s="2">
        <f t="shared" si="0"/>
        <v>4</v>
      </c>
    </row>
    <row r="62" spans="1:24" ht="15" customHeight="1" x14ac:dyDescent="0.3">
      <c r="A62" s="2">
        <f>Roster!A62</f>
        <v>61</v>
      </c>
      <c r="B62" s="2">
        <f>Roster!C62</f>
        <v>1</v>
      </c>
      <c r="C62" s="2">
        <f>IF(COUNTIF(Roster!$D62:$M62,C$1)&gt;0,$B62,0)</f>
        <v>1</v>
      </c>
      <c r="D62" s="2">
        <f>IF(COUNTIF(Roster!$D62:$M62,D$1)&gt;0,$B62,0)</f>
        <v>1</v>
      </c>
      <c r="E62" s="2">
        <f>IF(COUNTIF(Roster!$D62:$M62,E$1)&gt;0,$B62,0)</f>
        <v>1</v>
      </c>
      <c r="F62" s="2">
        <f>IF(COUNTIF(Roster!$D62:$M62,F$1)&gt;0,$B62,0)</f>
        <v>1</v>
      </c>
      <c r="G62" s="2">
        <f>IF(COUNTIF(Roster!$D62:$M62,G$1)&gt;0,$B62,0)</f>
        <v>0</v>
      </c>
      <c r="H62" s="2">
        <f>IF(COUNTIF(Roster!$D62:$M62,H$1)&gt;0,$B62,0)</f>
        <v>0</v>
      </c>
      <c r="I62" s="2">
        <f>IF(COUNTIF(Roster!$D62:$M62,I$1)&gt;0,$B62,0)</f>
        <v>1</v>
      </c>
      <c r="J62" s="2">
        <f>IF(COUNTIF(Roster!$D62:$M62,J$1)&gt;0,$B62,0)</f>
        <v>1</v>
      </c>
      <c r="K62" s="2">
        <f>IF(COUNTIF(Roster!$D62:$M62,K$1)&gt;0,$B62,0)</f>
        <v>0</v>
      </c>
      <c r="L62" s="2">
        <f>IF(COUNTIF(Roster!$D62:$M62,L$1)&gt;0,$B62,0)</f>
        <v>1</v>
      </c>
      <c r="M62" s="2">
        <f>IF(COUNTIF(Roster!$D62:$M62,M$1)&gt;0,$B62,0)</f>
        <v>0</v>
      </c>
      <c r="N62" s="2">
        <f>IF(COUNTIF(Roster!$D62:$M62,N$1)&gt;0,$B62,0)</f>
        <v>0</v>
      </c>
      <c r="O62" s="2">
        <f>IF(COUNTIF(Roster!$D62:$M62,O$1)&gt;0,$B62,0)</f>
        <v>0</v>
      </c>
      <c r="P62" s="2">
        <f>IF(COUNTIF(Roster!$D62:$M62,P$1)&gt;0,$B62,0)</f>
        <v>0</v>
      </c>
      <c r="Q62" s="2">
        <f>IF(COUNTIF(Roster!$D62:$M62,Q$1)&gt;0,$B62,0)</f>
        <v>0</v>
      </c>
      <c r="R62" s="2">
        <f>IF(COUNTIF(Roster!$D62:$M62,R$1)&gt;0,$B62,0)</f>
        <v>0</v>
      </c>
      <c r="S62" s="2">
        <f>IF(COUNTIF(Roster!$D62:$M62,S$1)&gt;0,$B62,0)</f>
        <v>1</v>
      </c>
      <c r="T62" s="2">
        <f>IF(COUNTIF(Roster!$D62:$M62,T$1)&gt;0,$B62,0)</f>
        <v>0</v>
      </c>
      <c r="U62" s="2">
        <f>IF(COUNTIF(Roster!$D62:$M62,U$1)&gt;0,$B62,0)</f>
        <v>0</v>
      </c>
      <c r="V62" s="2">
        <f>IF(COUNTIF(Roster!$D62:$M62,V$1)&gt;0,$B62,0)</f>
        <v>0</v>
      </c>
      <c r="W62" s="2">
        <f>IF(COUNTIF(Roster!$D62:$M62,W$1)&gt;0,$B62,0)</f>
        <v>0</v>
      </c>
      <c r="X62" s="2">
        <f t="shared" si="0"/>
        <v>4</v>
      </c>
    </row>
    <row r="63" spans="1:24" ht="15" customHeight="1" x14ac:dyDescent="0.3">
      <c r="A63" s="2">
        <f>Roster!A63</f>
        <v>62</v>
      </c>
      <c r="B63" s="2">
        <f>Roster!C63</f>
        <v>1</v>
      </c>
      <c r="C63" s="2">
        <f>IF(COUNTIF(Roster!$D63:$M63,C$1)&gt;0,$B63,0)</f>
        <v>1</v>
      </c>
      <c r="D63" s="2">
        <f>IF(COUNTIF(Roster!$D63:$M63,D$1)&gt;0,$B63,0)</f>
        <v>1</v>
      </c>
      <c r="E63" s="2">
        <f>IF(COUNTIF(Roster!$D63:$M63,E$1)&gt;0,$B63,0)</f>
        <v>1</v>
      </c>
      <c r="F63" s="2">
        <f>IF(COUNTIF(Roster!$D63:$M63,F$1)&gt;0,$B63,0)</f>
        <v>1</v>
      </c>
      <c r="G63" s="2">
        <f>IF(COUNTIF(Roster!$D63:$M63,G$1)&gt;0,$B63,0)</f>
        <v>0</v>
      </c>
      <c r="H63" s="2">
        <f>IF(COUNTIF(Roster!$D63:$M63,H$1)&gt;0,$B63,0)</f>
        <v>1</v>
      </c>
      <c r="I63" s="2">
        <f>IF(COUNTIF(Roster!$D63:$M63,I$1)&gt;0,$B63,0)</f>
        <v>1</v>
      </c>
      <c r="J63" s="2">
        <f>IF(COUNTIF(Roster!$D63:$M63,J$1)&gt;0,$B63,0)</f>
        <v>1</v>
      </c>
      <c r="K63" s="2">
        <f>IF(COUNTIF(Roster!$D63:$M63,K$1)&gt;0,$B63,0)</f>
        <v>1</v>
      </c>
      <c r="L63" s="2">
        <f>IF(COUNTIF(Roster!$D63:$M63,L$1)&gt;0,$B63,0)</f>
        <v>0</v>
      </c>
      <c r="M63" s="2">
        <f>IF(COUNTIF(Roster!$D63:$M63,M$1)&gt;0,$B63,0)</f>
        <v>0</v>
      </c>
      <c r="N63" s="2">
        <f>IF(COUNTIF(Roster!$D63:$M63,N$1)&gt;0,$B63,0)</f>
        <v>0</v>
      </c>
      <c r="O63" s="2">
        <f>IF(COUNTIF(Roster!$D63:$M63,O$1)&gt;0,$B63,0)</f>
        <v>0</v>
      </c>
      <c r="P63" s="2">
        <f>IF(COUNTIF(Roster!$D63:$M63,P$1)&gt;0,$B63,0)</f>
        <v>0</v>
      </c>
      <c r="Q63" s="2">
        <f>IF(COUNTIF(Roster!$D63:$M63,Q$1)&gt;0,$B63,0)</f>
        <v>0</v>
      </c>
      <c r="R63" s="2">
        <f>IF(COUNTIF(Roster!$D63:$M63,R$1)&gt;0,$B63,0)</f>
        <v>0</v>
      </c>
      <c r="S63" s="2">
        <f>IF(COUNTIF(Roster!$D63:$M63,S$1)&gt;0,$B63,0)</f>
        <v>0</v>
      </c>
      <c r="T63" s="2">
        <f>IF(COUNTIF(Roster!$D63:$M63,T$1)&gt;0,$B63,0)</f>
        <v>0</v>
      </c>
      <c r="U63" s="2">
        <f>IF(COUNTIF(Roster!$D63:$M63,U$1)&gt;0,$B63,0)</f>
        <v>0</v>
      </c>
      <c r="V63" s="2">
        <f>IF(COUNTIF(Roster!$D63:$M63,V$1)&gt;0,$B63,0)</f>
        <v>0</v>
      </c>
      <c r="W63" s="2">
        <f>IF(COUNTIF(Roster!$D63:$M63,W$1)&gt;0,$B63,0)</f>
        <v>0</v>
      </c>
      <c r="X63" s="2">
        <f t="shared" si="0"/>
        <v>4</v>
      </c>
    </row>
    <row r="64" spans="1:24" ht="15" customHeight="1" x14ac:dyDescent="0.3">
      <c r="A64" s="2">
        <f>Roster!A64</f>
        <v>63</v>
      </c>
      <c r="B64" s="2">
        <f>Roster!C64</f>
        <v>1</v>
      </c>
      <c r="C64" s="2">
        <f>IF(COUNTIF(Roster!$D64:$M64,C$1)&gt;0,$B64,0)</f>
        <v>1</v>
      </c>
      <c r="D64" s="2">
        <f>IF(COUNTIF(Roster!$D64:$M64,D$1)&gt;0,$B64,0)</f>
        <v>1</v>
      </c>
      <c r="E64" s="2">
        <f>IF(COUNTIF(Roster!$D64:$M64,E$1)&gt;0,$B64,0)</f>
        <v>1</v>
      </c>
      <c r="F64" s="2">
        <f>IF(COUNTIF(Roster!$D64:$M64,F$1)&gt;0,$B64,0)</f>
        <v>1</v>
      </c>
      <c r="G64" s="2">
        <f>IF(COUNTIF(Roster!$D64:$M64,G$1)&gt;0,$B64,0)</f>
        <v>0</v>
      </c>
      <c r="H64" s="2">
        <f>IF(COUNTIF(Roster!$D64:$M64,H$1)&gt;0,$B64,0)</f>
        <v>0</v>
      </c>
      <c r="I64" s="2">
        <f>IF(COUNTIF(Roster!$D64:$M64,I$1)&gt;0,$B64,0)</f>
        <v>1</v>
      </c>
      <c r="J64" s="2">
        <f>IF(COUNTIF(Roster!$D64:$M64,J$1)&gt;0,$B64,0)</f>
        <v>1</v>
      </c>
      <c r="K64" s="2">
        <f>IF(COUNTIF(Roster!$D64:$M64,K$1)&gt;0,$B64,0)</f>
        <v>0</v>
      </c>
      <c r="L64" s="2">
        <f>IF(COUNTIF(Roster!$D64:$M64,L$1)&gt;0,$B64,0)</f>
        <v>1</v>
      </c>
      <c r="M64" s="2">
        <f>IF(COUNTIF(Roster!$D64:$M64,M$1)&gt;0,$B64,0)</f>
        <v>0</v>
      </c>
      <c r="N64" s="2">
        <f>IF(COUNTIF(Roster!$D64:$M64,N$1)&gt;0,$B64,0)</f>
        <v>0</v>
      </c>
      <c r="O64" s="2">
        <f>IF(COUNTIF(Roster!$D64:$M64,O$1)&gt;0,$B64,0)</f>
        <v>0</v>
      </c>
      <c r="P64" s="2">
        <f>IF(COUNTIF(Roster!$D64:$M64,P$1)&gt;0,$B64,0)</f>
        <v>0</v>
      </c>
      <c r="Q64" s="2">
        <f>IF(COUNTIF(Roster!$D64:$M64,Q$1)&gt;0,$B64,0)</f>
        <v>0</v>
      </c>
      <c r="R64" s="2">
        <f>IF(COUNTIF(Roster!$D64:$M64,R$1)&gt;0,$B64,0)</f>
        <v>0</v>
      </c>
      <c r="S64" s="2">
        <f>IF(COUNTIF(Roster!$D64:$M64,S$1)&gt;0,$B64,0)</f>
        <v>1</v>
      </c>
      <c r="T64" s="2">
        <f>IF(COUNTIF(Roster!$D64:$M64,T$1)&gt;0,$B64,0)</f>
        <v>0</v>
      </c>
      <c r="U64" s="2">
        <f>IF(COUNTIF(Roster!$D64:$M64,U$1)&gt;0,$B64,0)</f>
        <v>1</v>
      </c>
      <c r="V64" s="2">
        <f>IF(COUNTIF(Roster!$D64:$M64,V$1)&gt;0,$B64,0)</f>
        <v>0</v>
      </c>
      <c r="W64" s="2">
        <f>IF(COUNTIF(Roster!$D64:$M64,W$1)&gt;0,$B64,0)</f>
        <v>0</v>
      </c>
      <c r="X64" s="2">
        <f t="shared" si="0"/>
        <v>5</v>
      </c>
    </row>
    <row r="65" spans="1:24" ht="15" customHeight="1" x14ac:dyDescent="0.3">
      <c r="A65" s="2">
        <f>Roster!A65</f>
        <v>64</v>
      </c>
      <c r="B65" s="2">
        <f>Roster!C65</f>
        <v>1</v>
      </c>
      <c r="C65" s="2">
        <f>IF(COUNTIF(Roster!$D65:$M65,C$1)&gt;0,$B65,0)</f>
        <v>1</v>
      </c>
      <c r="D65" s="2">
        <f>IF(COUNTIF(Roster!$D65:$M65,D$1)&gt;0,$B65,0)</f>
        <v>1</v>
      </c>
      <c r="E65" s="2">
        <f>IF(COUNTIF(Roster!$D65:$M65,E$1)&gt;0,$B65,0)</f>
        <v>1</v>
      </c>
      <c r="F65" s="2">
        <f>IF(COUNTIF(Roster!$D65:$M65,F$1)&gt;0,$B65,0)</f>
        <v>0</v>
      </c>
      <c r="G65" s="2">
        <f>IF(COUNTIF(Roster!$D65:$M65,G$1)&gt;0,$B65,0)</f>
        <v>1</v>
      </c>
      <c r="H65" s="2">
        <f>IF(COUNTIF(Roster!$D65:$M65,H$1)&gt;0,$B65,0)</f>
        <v>0</v>
      </c>
      <c r="I65" s="2">
        <f>IF(COUNTIF(Roster!$D65:$M65,I$1)&gt;0,$B65,0)</f>
        <v>0</v>
      </c>
      <c r="J65" s="2">
        <f>IF(COUNTIF(Roster!$D65:$M65,J$1)&gt;0,$B65,0)</f>
        <v>1</v>
      </c>
      <c r="K65" s="2">
        <f>IF(COUNTIF(Roster!$D65:$M65,K$1)&gt;0,$B65,0)</f>
        <v>0</v>
      </c>
      <c r="L65" s="2">
        <f>IF(COUNTIF(Roster!$D65:$M65,L$1)&gt;0,$B65,0)</f>
        <v>1</v>
      </c>
      <c r="M65" s="2">
        <f>IF(COUNTIF(Roster!$D65:$M65,M$1)&gt;0,$B65,0)</f>
        <v>1</v>
      </c>
      <c r="N65" s="2">
        <f>IF(COUNTIF(Roster!$D65:$M65,N$1)&gt;0,$B65,0)</f>
        <v>0</v>
      </c>
      <c r="O65" s="2">
        <f>IF(COUNTIF(Roster!$D65:$M65,O$1)&gt;0,$B65,0)</f>
        <v>0</v>
      </c>
      <c r="P65" s="2">
        <f>IF(COUNTIF(Roster!$D65:$M65,P$1)&gt;0,$B65,0)</f>
        <v>0</v>
      </c>
      <c r="Q65" s="2">
        <f>IF(COUNTIF(Roster!$D65:$M65,Q$1)&gt;0,$B65,0)</f>
        <v>0</v>
      </c>
      <c r="R65" s="2">
        <f>IF(COUNTIF(Roster!$D65:$M65,R$1)&gt;0,$B65,0)</f>
        <v>0</v>
      </c>
      <c r="S65" s="2">
        <f>IF(COUNTIF(Roster!$D65:$M65,S$1)&gt;0,$B65,0)</f>
        <v>0</v>
      </c>
      <c r="T65" s="2">
        <f>IF(COUNTIF(Roster!$D65:$M65,T$1)&gt;0,$B65,0)</f>
        <v>0</v>
      </c>
      <c r="U65" s="2">
        <f>IF(COUNTIF(Roster!$D65:$M65,U$1)&gt;0,$B65,0)</f>
        <v>0</v>
      </c>
      <c r="V65" s="2">
        <f>IF(COUNTIF(Roster!$D65:$M65,V$1)&gt;0,$B65,0)</f>
        <v>0</v>
      </c>
      <c r="W65" s="2">
        <f>IF(COUNTIF(Roster!$D65:$M65,W$1)&gt;0,$B65,0)</f>
        <v>1</v>
      </c>
      <c r="X65" s="2">
        <f t="shared" si="0"/>
        <v>4</v>
      </c>
    </row>
    <row r="66" spans="1:24" ht="15" customHeight="1" x14ac:dyDescent="0.3">
      <c r="A66" s="2">
        <f>Roster!A66</f>
        <v>65</v>
      </c>
      <c r="B66" s="2">
        <f>Roster!C66</f>
        <v>1</v>
      </c>
      <c r="C66" s="2">
        <f>IF(COUNTIF(Roster!$D66:$M66,C$1)&gt;0,$B66,0)</f>
        <v>1</v>
      </c>
      <c r="D66" s="2">
        <f>IF(COUNTIF(Roster!$D66:$M66,D$1)&gt;0,$B66,0)</f>
        <v>1</v>
      </c>
      <c r="E66" s="2">
        <f>IF(COUNTIF(Roster!$D66:$M66,E$1)&gt;0,$B66,0)</f>
        <v>1</v>
      </c>
      <c r="F66" s="2">
        <f>IF(COUNTIF(Roster!$D66:$M66,F$1)&gt;0,$B66,0)</f>
        <v>1</v>
      </c>
      <c r="G66" s="2">
        <f>IF(COUNTIF(Roster!$D66:$M66,G$1)&gt;0,$B66,0)</f>
        <v>0</v>
      </c>
      <c r="H66" s="2">
        <f>IF(COUNTIF(Roster!$D66:$M66,H$1)&gt;0,$B66,0)</f>
        <v>0</v>
      </c>
      <c r="I66" s="2">
        <f>IF(COUNTIF(Roster!$D66:$M66,I$1)&gt;0,$B66,0)</f>
        <v>0</v>
      </c>
      <c r="J66" s="2">
        <f>IF(COUNTIF(Roster!$D66:$M66,J$1)&gt;0,$B66,0)</f>
        <v>1</v>
      </c>
      <c r="K66" s="2">
        <f>IF(COUNTIF(Roster!$D66:$M66,K$1)&gt;0,$B66,0)</f>
        <v>0</v>
      </c>
      <c r="L66" s="2">
        <f>IF(COUNTIF(Roster!$D66:$M66,L$1)&gt;0,$B66,0)</f>
        <v>0</v>
      </c>
      <c r="M66" s="2">
        <f>IF(COUNTIF(Roster!$D66:$M66,M$1)&gt;0,$B66,0)</f>
        <v>0</v>
      </c>
      <c r="N66" s="2">
        <f>IF(COUNTIF(Roster!$D66:$M66,N$1)&gt;0,$B66,0)</f>
        <v>0</v>
      </c>
      <c r="O66" s="2">
        <f>IF(COUNTIF(Roster!$D66:$M66,O$1)&gt;0,$B66,0)</f>
        <v>0</v>
      </c>
      <c r="P66" s="2">
        <f>IF(COUNTIF(Roster!$D66:$M66,P$1)&gt;0,$B66,0)</f>
        <v>1</v>
      </c>
      <c r="Q66" s="2">
        <f>IF(COUNTIF(Roster!$D66:$M66,Q$1)&gt;0,$B66,0)</f>
        <v>0</v>
      </c>
      <c r="R66" s="2">
        <f>IF(COUNTIF(Roster!$D66:$M66,R$1)&gt;0,$B66,0)</f>
        <v>0</v>
      </c>
      <c r="S66" s="2">
        <f>IF(COUNTIF(Roster!$D66:$M66,S$1)&gt;0,$B66,0)</f>
        <v>1</v>
      </c>
      <c r="T66" s="2">
        <f>IF(COUNTIF(Roster!$D66:$M66,T$1)&gt;0,$B66,0)</f>
        <v>0</v>
      </c>
      <c r="U66" s="2">
        <f>IF(COUNTIF(Roster!$D66:$M66,U$1)&gt;0,$B66,0)</f>
        <v>1</v>
      </c>
      <c r="V66" s="2">
        <f>IF(COUNTIF(Roster!$D66:$M66,V$1)&gt;0,$B66,0)</f>
        <v>0</v>
      </c>
      <c r="W66" s="2">
        <f>IF(COUNTIF(Roster!$D66:$M66,W$1)&gt;0,$B66,0)</f>
        <v>1</v>
      </c>
      <c r="X66" s="2">
        <f t="shared" ref="X66:X129" si="1">SUM(H66:W66)</f>
        <v>5</v>
      </c>
    </row>
    <row r="67" spans="1:24" ht="15" customHeight="1" x14ac:dyDescent="0.3">
      <c r="A67" s="2">
        <f>Roster!A67</f>
        <v>66</v>
      </c>
      <c r="B67" s="2">
        <f>Roster!C67</f>
        <v>1</v>
      </c>
      <c r="C67" s="2">
        <f>IF(COUNTIF(Roster!$D67:$M67,C$1)&gt;0,$B67,0)</f>
        <v>1</v>
      </c>
      <c r="D67" s="2">
        <f>IF(COUNTIF(Roster!$D67:$M67,D$1)&gt;0,$B67,0)</f>
        <v>1</v>
      </c>
      <c r="E67" s="2">
        <f>IF(COUNTIF(Roster!$D67:$M67,E$1)&gt;0,$B67,0)</f>
        <v>1</v>
      </c>
      <c r="F67" s="2">
        <f>IF(COUNTIF(Roster!$D67:$M67,F$1)&gt;0,$B67,0)</f>
        <v>0</v>
      </c>
      <c r="G67" s="2">
        <f>IF(COUNTIF(Roster!$D67:$M67,G$1)&gt;0,$B67,0)</f>
        <v>1</v>
      </c>
      <c r="H67" s="2">
        <f>IF(COUNTIF(Roster!$D67:$M67,H$1)&gt;0,$B67,0)</f>
        <v>0</v>
      </c>
      <c r="I67" s="2">
        <f>IF(COUNTIF(Roster!$D67:$M67,I$1)&gt;0,$B67,0)</f>
        <v>0</v>
      </c>
      <c r="J67" s="2">
        <f>IF(COUNTIF(Roster!$D67:$M67,J$1)&gt;0,$B67,0)</f>
        <v>1</v>
      </c>
      <c r="K67" s="2">
        <f>IF(COUNTIF(Roster!$D67:$M67,K$1)&gt;0,$B67,0)</f>
        <v>0</v>
      </c>
      <c r="L67" s="2">
        <f>IF(COUNTIF(Roster!$D67:$M67,L$1)&gt;0,$B67,0)</f>
        <v>1</v>
      </c>
      <c r="M67" s="2">
        <f>IF(COUNTIF(Roster!$D67:$M67,M$1)&gt;0,$B67,0)</f>
        <v>1</v>
      </c>
      <c r="N67" s="2">
        <f>IF(COUNTIF(Roster!$D67:$M67,N$1)&gt;0,$B67,0)</f>
        <v>0</v>
      </c>
      <c r="O67" s="2">
        <f>IF(COUNTIF(Roster!$D67:$M67,O$1)&gt;0,$B67,0)</f>
        <v>0</v>
      </c>
      <c r="P67" s="2">
        <f>IF(COUNTIF(Roster!$D67:$M67,P$1)&gt;0,$B67,0)</f>
        <v>0</v>
      </c>
      <c r="Q67" s="2">
        <f>IF(COUNTIF(Roster!$D67:$M67,Q$1)&gt;0,$B67,0)</f>
        <v>0</v>
      </c>
      <c r="R67" s="2">
        <f>IF(COUNTIF(Roster!$D67:$M67,R$1)&gt;0,$B67,0)</f>
        <v>0</v>
      </c>
      <c r="S67" s="2">
        <f>IF(COUNTIF(Roster!$D67:$M67,S$1)&gt;0,$B67,0)</f>
        <v>0</v>
      </c>
      <c r="T67" s="2">
        <f>IF(COUNTIF(Roster!$D67:$M67,T$1)&gt;0,$B67,0)</f>
        <v>0</v>
      </c>
      <c r="U67" s="2">
        <f>IF(COUNTIF(Roster!$D67:$M67,U$1)&gt;0,$B67,0)</f>
        <v>1</v>
      </c>
      <c r="V67" s="2">
        <f>IF(COUNTIF(Roster!$D67:$M67,V$1)&gt;0,$B67,0)</f>
        <v>0</v>
      </c>
      <c r="W67" s="2">
        <f>IF(COUNTIF(Roster!$D67:$M67,W$1)&gt;0,$B67,0)</f>
        <v>1</v>
      </c>
      <c r="X67" s="2">
        <f t="shared" si="1"/>
        <v>5</v>
      </c>
    </row>
    <row r="68" spans="1:24" ht="15" customHeight="1" x14ac:dyDescent="0.3">
      <c r="A68" s="2">
        <f>Roster!A68</f>
        <v>67</v>
      </c>
      <c r="B68" s="2">
        <f>Roster!C68</f>
        <v>1</v>
      </c>
      <c r="C68" s="2">
        <f>IF(COUNTIF(Roster!$D68:$M68,C$1)&gt;0,$B68,0)</f>
        <v>1</v>
      </c>
      <c r="D68" s="2">
        <f>IF(COUNTIF(Roster!$D68:$M68,D$1)&gt;0,$B68,0)</f>
        <v>1</v>
      </c>
      <c r="E68" s="2">
        <f>IF(COUNTIF(Roster!$D68:$M68,E$1)&gt;0,$B68,0)</f>
        <v>1</v>
      </c>
      <c r="F68" s="2">
        <f>IF(COUNTIF(Roster!$D68:$M68,F$1)&gt;0,$B68,0)</f>
        <v>0</v>
      </c>
      <c r="G68" s="2">
        <f>IF(COUNTIF(Roster!$D68:$M68,G$1)&gt;0,$B68,0)</f>
        <v>1</v>
      </c>
      <c r="H68" s="2">
        <f>IF(COUNTIF(Roster!$D68:$M68,H$1)&gt;0,$B68,0)</f>
        <v>0</v>
      </c>
      <c r="I68" s="2">
        <f>IF(COUNTIF(Roster!$D68:$M68,I$1)&gt;0,$B68,0)</f>
        <v>0</v>
      </c>
      <c r="J68" s="2">
        <f>IF(COUNTIF(Roster!$D68:$M68,J$1)&gt;0,$B68,0)</f>
        <v>1</v>
      </c>
      <c r="K68" s="2">
        <f>IF(COUNTIF(Roster!$D68:$M68,K$1)&gt;0,$B68,0)</f>
        <v>1</v>
      </c>
      <c r="L68" s="2">
        <f>IF(COUNTIF(Roster!$D68:$M68,L$1)&gt;0,$B68,0)</f>
        <v>0</v>
      </c>
      <c r="M68" s="2">
        <f>IF(COUNTIF(Roster!$D68:$M68,M$1)&gt;0,$B68,0)</f>
        <v>0</v>
      </c>
      <c r="N68" s="2">
        <f>IF(COUNTIF(Roster!$D68:$M68,N$1)&gt;0,$B68,0)</f>
        <v>0</v>
      </c>
      <c r="O68" s="2">
        <f>IF(COUNTIF(Roster!$D68:$M68,O$1)&gt;0,$B68,0)</f>
        <v>0</v>
      </c>
      <c r="P68" s="2">
        <f>IF(COUNTIF(Roster!$D68:$M68,P$1)&gt;0,$B68,0)</f>
        <v>1</v>
      </c>
      <c r="Q68" s="2">
        <f>IF(COUNTIF(Roster!$D68:$M68,Q$1)&gt;0,$B68,0)</f>
        <v>0</v>
      </c>
      <c r="R68" s="2">
        <f>IF(COUNTIF(Roster!$D68:$M68,R$1)&gt;0,$B68,0)</f>
        <v>0</v>
      </c>
      <c r="S68" s="2">
        <f>IF(COUNTIF(Roster!$D68:$M68,S$1)&gt;0,$B68,0)</f>
        <v>0</v>
      </c>
      <c r="T68" s="2">
        <f>IF(COUNTIF(Roster!$D68:$M68,T$1)&gt;0,$B68,0)</f>
        <v>0</v>
      </c>
      <c r="U68" s="2">
        <f>IF(COUNTIF(Roster!$D68:$M68,U$1)&gt;0,$B68,0)</f>
        <v>0</v>
      </c>
      <c r="V68" s="2">
        <f>IF(COUNTIF(Roster!$D68:$M68,V$1)&gt;0,$B68,0)</f>
        <v>0</v>
      </c>
      <c r="W68" s="2">
        <f>IF(COUNTIF(Roster!$D68:$M68,W$1)&gt;0,$B68,0)</f>
        <v>1</v>
      </c>
      <c r="X68" s="2">
        <f t="shared" si="1"/>
        <v>4</v>
      </c>
    </row>
    <row r="69" spans="1:24" ht="15" customHeight="1" x14ac:dyDescent="0.3">
      <c r="A69" s="2">
        <f>Roster!A69</f>
        <v>68</v>
      </c>
      <c r="B69" s="2">
        <f>Roster!C69</f>
        <v>1</v>
      </c>
      <c r="C69" s="2">
        <f>IF(COUNTIF(Roster!$D69:$M69,C$1)&gt;0,$B69,0)</f>
        <v>1</v>
      </c>
      <c r="D69" s="2">
        <f>IF(COUNTIF(Roster!$D69:$M69,D$1)&gt;0,$B69,0)</f>
        <v>1</v>
      </c>
      <c r="E69" s="2">
        <f>IF(COUNTIF(Roster!$D69:$M69,E$1)&gt;0,$B69,0)</f>
        <v>1</v>
      </c>
      <c r="F69" s="2">
        <f>IF(COUNTIF(Roster!$D69:$M69,F$1)&gt;0,$B69,0)</f>
        <v>1</v>
      </c>
      <c r="G69" s="2">
        <f>IF(COUNTIF(Roster!$D69:$M69,G$1)&gt;0,$B69,0)</f>
        <v>0</v>
      </c>
      <c r="H69" s="2">
        <f>IF(COUNTIF(Roster!$D69:$M69,H$1)&gt;0,$B69,0)</f>
        <v>0</v>
      </c>
      <c r="I69" s="2">
        <f>IF(COUNTIF(Roster!$D69:$M69,I$1)&gt;0,$B69,0)</f>
        <v>0</v>
      </c>
      <c r="J69" s="2">
        <f>IF(COUNTIF(Roster!$D69:$M69,J$1)&gt;0,$B69,0)</f>
        <v>0</v>
      </c>
      <c r="K69" s="2">
        <f>IF(COUNTIF(Roster!$D69:$M69,K$1)&gt;0,$B69,0)</f>
        <v>0</v>
      </c>
      <c r="L69" s="2">
        <f>IF(COUNTIF(Roster!$D69:$M69,L$1)&gt;0,$B69,0)</f>
        <v>0</v>
      </c>
      <c r="M69" s="2">
        <f>IF(COUNTIF(Roster!$D69:$M69,M$1)&gt;0,$B69,0)</f>
        <v>0</v>
      </c>
      <c r="N69" s="2">
        <f>IF(COUNTIF(Roster!$D69:$M69,N$1)&gt;0,$B69,0)</f>
        <v>0</v>
      </c>
      <c r="O69" s="2">
        <f>IF(COUNTIF(Roster!$D69:$M69,O$1)&gt;0,$B69,0)</f>
        <v>1</v>
      </c>
      <c r="P69" s="2">
        <f>IF(COUNTIF(Roster!$D69:$M69,P$1)&gt;0,$B69,0)</f>
        <v>0</v>
      </c>
      <c r="Q69" s="2">
        <f>IF(COUNTIF(Roster!$D69:$M69,Q$1)&gt;0,$B69,0)</f>
        <v>0</v>
      </c>
      <c r="R69" s="2">
        <f>IF(COUNTIF(Roster!$D69:$M69,R$1)&gt;0,$B69,0)</f>
        <v>0</v>
      </c>
      <c r="S69" s="2">
        <f>IF(COUNTIF(Roster!$D69:$M69,S$1)&gt;0,$B69,0)</f>
        <v>1</v>
      </c>
      <c r="T69" s="2">
        <f>IF(COUNTIF(Roster!$D69:$M69,T$1)&gt;0,$B69,0)</f>
        <v>0</v>
      </c>
      <c r="U69" s="2">
        <f>IF(COUNTIF(Roster!$D69:$M69,U$1)&gt;0,$B69,0)</f>
        <v>1</v>
      </c>
      <c r="V69" s="2">
        <f>IF(COUNTIF(Roster!$D69:$M69,V$1)&gt;0,$B69,0)</f>
        <v>1</v>
      </c>
      <c r="W69" s="2">
        <f>IF(COUNTIF(Roster!$D69:$M69,W$1)&gt;0,$B69,0)</f>
        <v>0</v>
      </c>
      <c r="X69" s="2">
        <f t="shared" si="1"/>
        <v>4</v>
      </c>
    </row>
    <row r="70" spans="1:24" ht="15" customHeight="1" x14ac:dyDescent="0.3">
      <c r="A70" s="2">
        <f>Roster!A70</f>
        <v>69</v>
      </c>
      <c r="B70" s="2">
        <f>Roster!C70</f>
        <v>1</v>
      </c>
      <c r="C70" s="2">
        <f>IF(COUNTIF(Roster!$D70:$M70,C$1)&gt;0,$B70,0)</f>
        <v>1</v>
      </c>
      <c r="D70" s="2">
        <f>IF(COUNTIF(Roster!$D70:$M70,D$1)&gt;0,$B70,0)</f>
        <v>1</v>
      </c>
      <c r="E70" s="2">
        <f>IF(COUNTIF(Roster!$D70:$M70,E$1)&gt;0,$B70,0)</f>
        <v>1</v>
      </c>
      <c r="F70" s="2">
        <f>IF(COUNTIF(Roster!$D70:$M70,F$1)&gt;0,$B70,0)</f>
        <v>0</v>
      </c>
      <c r="G70" s="2">
        <f>IF(COUNTIF(Roster!$D70:$M70,G$1)&gt;0,$B70,0)</f>
        <v>1</v>
      </c>
      <c r="H70" s="2">
        <f>IF(COUNTIF(Roster!$D70:$M70,H$1)&gt;0,$B70,0)</f>
        <v>0</v>
      </c>
      <c r="I70" s="2">
        <f>IF(COUNTIF(Roster!$D70:$M70,I$1)&gt;0,$B70,0)</f>
        <v>0</v>
      </c>
      <c r="J70" s="2">
        <f>IF(COUNTIF(Roster!$D70:$M70,J$1)&gt;0,$B70,0)</f>
        <v>1</v>
      </c>
      <c r="K70" s="2">
        <f>IF(COUNTIF(Roster!$D70:$M70,K$1)&gt;0,$B70,0)</f>
        <v>0</v>
      </c>
      <c r="L70" s="2">
        <f>IF(COUNTIF(Roster!$D70:$M70,L$1)&gt;0,$B70,0)</f>
        <v>0</v>
      </c>
      <c r="M70" s="2">
        <f>IF(COUNTIF(Roster!$D70:$M70,M$1)&gt;0,$B70,0)</f>
        <v>1</v>
      </c>
      <c r="N70" s="2">
        <f>IF(COUNTIF(Roster!$D70:$M70,N$1)&gt;0,$B70,0)</f>
        <v>0</v>
      </c>
      <c r="O70" s="2">
        <f>IF(COUNTIF(Roster!$D70:$M70,O$1)&gt;0,$B70,0)</f>
        <v>0</v>
      </c>
      <c r="P70" s="2">
        <f>IF(COUNTIF(Roster!$D70:$M70,P$1)&gt;0,$B70,0)</f>
        <v>1</v>
      </c>
      <c r="Q70" s="2">
        <f>IF(COUNTIF(Roster!$D70:$M70,Q$1)&gt;0,$B70,0)</f>
        <v>0</v>
      </c>
      <c r="R70" s="2">
        <f>IF(COUNTIF(Roster!$D70:$M70,R$1)&gt;0,$B70,0)</f>
        <v>0</v>
      </c>
      <c r="S70" s="2">
        <f>IF(COUNTIF(Roster!$D70:$M70,S$1)&gt;0,$B70,0)</f>
        <v>0</v>
      </c>
      <c r="T70" s="2">
        <f>IF(COUNTIF(Roster!$D70:$M70,T$1)&gt;0,$B70,0)</f>
        <v>0</v>
      </c>
      <c r="U70" s="2">
        <f>IF(COUNTIF(Roster!$D70:$M70,U$1)&gt;0,$B70,0)</f>
        <v>0</v>
      </c>
      <c r="V70" s="2">
        <f>IF(COUNTIF(Roster!$D70:$M70,V$1)&gt;0,$B70,0)</f>
        <v>0</v>
      </c>
      <c r="W70" s="2">
        <f>IF(COUNTIF(Roster!$D70:$M70,W$1)&gt;0,$B70,0)</f>
        <v>1</v>
      </c>
      <c r="X70" s="2">
        <f t="shared" si="1"/>
        <v>4</v>
      </c>
    </row>
    <row r="71" spans="1:24" ht="15" customHeight="1" x14ac:dyDescent="0.3">
      <c r="A71" s="2">
        <f>Roster!A71</f>
        <v>70</v>
      </c>
      <c r="B71" s="2">
        <f>Roster!C71</f>
        <v>1</v>
      </c>
      <c r="C71" s="2">
        <f>IF(COUNTIF(Roster!$D71:$M71,C$1)&gt;0,$B71,0)</f>
        <v>1</v>
      </c>
      <c r="D71" s="2">
        <f>IF(COUNTIF(Roster!$D71:$M71,D$1)&gt;0,$B71,0)</f>
        <v>1</v>
      </c>
      <c r="E71" s="2">
        <f>IF(COUNTIF(Roster!$D71:$M71,E$1)&gt;0,$B71,0)</f>
        <v>1</v>
      </c>
      <c r="F71" s="2">
        <f>IF(COUNTIF(Roster!$D71:$M71,F$1)&gt;0,$B71,0)</f>
        <v>1</v>
      </c>
      <c r="G71" s="2">
        <f>IF(COUNTIF(Roster!$D71:$M71,G$1)&gt;0,$B71,0)</f>
        <v>0</v>
      </c>
      <c r="H71" s="2">
        <f>IF(COUNTIF(Roster!$D71:$M71,H$1)&gt;0,$B71,0)</f>
        <v>1</v>
      </c>
      <c r="I71" s="2">
        <f>IF(COUNTIF(Roster!$D71:$M71,I$1)&gt;0,$B71,0)</f>
        <v>1</v>
      </c>
      <c r="J71" s="2">
        <f>IF(COUNTIF(Roster!$D71:$M71,J$1)&gt;0,$B71,0)</f>
        <v>1</v>
      </c>
      <c r="K71" s="2">
        <f>IF(COUNTIF(Roster!$D71:$M71,K$1)&gt;0,$B71,0)</f>
        <v>1</v>
      </c>
      <c r="L71" s="2">
        <f>IF(COUNTIF(Roster!$D71:$M71,L$1)&gt;0,$B71,0)</f>
        <v>0</v>
      </c>
      <c r="M71" s="2">
        <f>IF(COUNTIF(Roster!$D71:$M71,M$1)&gt;0,$B71,0)</f>
        <v>0</v>
      </c>
      <c r="N71" s="2">
        <f>IF(COUNTIF(Roster!$D71:$M71,N$1)&gt;0,$B71,0)</f>
        <v>0</v>
      </c>
      <c r="O71" s="2">
        <f>IF(COUNTIF(Roster!$D71:$M71,O$1)&gt;0,$B71,0)</f>
        <v>0</v>
      </c>
      <c r="P71" s="2">
        <f>IF(COUNTIF(Roster!$D71:$M71,P$1)&gt;0,$B71,0)</f>
        <v>0</v>
      </c>
      <c r="Q71" s="2">
        <f>IF(COUNTIF(Roster!$D71:$M71,Q$1)&gt;0,$B71,0)</f>
        <v>0</v>
      </c>
      <c r="R71" s="2">
        <f>IF(COUNTIF(Roster!$D71:$M71,R$1)&gt;0,$B71,0)</f>
        <v>0</v>
      </c>
      <c r="S71" s="2">
        <f>IF(COUNTIF(Roster!$D71:$M71,S$1)&gt;0,$B71,0)</f>
        <v>0</v>
      </c>
      <c r="T71" s="2">
        <f>IF(COUNTIF(Roster!$D71:$M71,T$1)&gt;0,$B71,0)</f>
        <v>0</v>
      </c>
      <c r="U71" s="2">
        <f>IF(COUNTIF(Roster!$D71:$M71,U$1)&gt;0,$B71,0)</f>
        <v>0</v>
      </c>
      <c r="V71" s="2">
        <f>IF(COUNTIF(Roster!$D71:$M71,V$1)&gt;0,$B71,0)</f>
        <v>0</v>
      </c>
      <c r="W71" s="2">
        <f>IF(COUNTIF(Roster!$D71:$M71,W$1)&gt;0,$B71,0)</f>
        <v>0</v>
      </c>
      <c r="X71" s="2">
        <f t="shared" si="1"/>
        <v>4</v>
      </c>
    </row>
    <row r="72" spans="1:24" ht="15" customHeight="1" x14ac:dyDescent="0.3">
      <c r="A72" s="2">
        <f>Roster!A72</f>
        <v>71</v>
      </c>
      <c r="B72" s="2">
        <f>Roster!C72</f>
        <v>1</v>
      </c>
      <c r="C72" s="2">
        <f>IF(COUNTIF(Roster!$D72:$M72,C$1)&gt;0,$B72,0)</f>
        <v>1</v>
      </c>
      <c r="D72" s="2">
        <f>IF(COUNTIF(Roster!$D72:$M72,D$1)&gt;0,$B72,0)</f>
        <v>1</v>
      </c>
      <c r="E72" s="2">
        <f>IF(COUNTIF(Roster!$D72:$M72,E$1)&gt;0,$B72,0)</f>
        <v>1</v>
      </c>
      <c r="F72" s="2">
        <f>IF(COUNTIF(Roster!$D72:$M72,F$1)&gt;0,$B72,0)</f>
        <v>1</v>
      </c>
      <c r="G72" s="2">
        <f>IF(COUNTIF(Roster!$D72:$M72,G$1)&gt;0,$B72,0)</f>
        <v>0</v>
      </c>
      <c r="H72" s="2">
        <f>IF(COUNTIF(Roster!$D72:$M72,H$1)&gt;0,$B72,0)</f>
        <v>0</v>
      </c>
      <c r="I72" s="2">
        <f>IF(COUNTIF(Roster!$D72:$M72,I$1)&gt;0,$B72,0)</f>
        <v>1</v>
      </c>
      <c r="J72" s="2">
        <f>IF(COUNTIF(Roster!$D72:$M72,J$1)&gt;0,$B72,0)</f>
        <v>0</v>
      </c>
      <c r="K72" s="2">
        <f>IF(COUNTIF(Roster!$D72:$M72,K$1)&gt;0,$B72,0)</f>
        <v>1</v>
      </c>
      <c r="L72" s="2">
        <f>IF(COUNTIF(Roster!$D72:$M72,L$1)&gt;0,$B72,0)</f>
        <v>0</v>
      </c>
      <c r="M72" s="2">
        <f>IF(COUNTIF(Roster!$D72:$M72,M$1)&gt;0,$B72,0)</f>
        <v>0</v>
      </c>
      <c r="N72" s="2">
        <f>IF(COUNTIF(Roster!$D72:$M72,N$1)&gt;0,$B72,0)</f>
        <v>0</v>
      </c>
      <c r="O72" s="2">
        <f>IF(COUNTIF(Roster!$D72:$M72,O$1)&gt;0,$B72,0)</f>
        <v>0</v>
      </c>
      <c r="P72" s="2">
        <f>IF(COUNTIF(Roster!$D72:$M72,P$1)&gt;0,$B72,0)</f>
        <v>0</v>
      </c>
      <c r="Q72" s="2">
        <f>IF(COUNTIF(Roster!$D72:$M72,Q$1)&gt;0,$B72,0)</f>
        <v>0</v>
      </c>
      <c r="R72" s="2">
        <f>IF(COUNTIF(Roster!$D72:$M72,R$1)&gt;0,$B72,0)</f>
        <v>1</v>
      </c>
      <c r="S72" s="2">
        <f>IF(COUNTIF(Roster!$D72:$M72,S$1)&gt;0,$B72,0)</f>
        <v>0</v>
      </c>
      <c r="T72" s="2">
        <f>IF(COUNTIF(Roster!$D72:$M72,T$1)&gt;0,$B72,0)</f>
        <v>0</v>
      </c>
      <c r="U72" s="2">
        <f>IF(COUNTIF(Roster!$D72:$M72,U$1)&gt;0,$B72,0)</f>
        <v>1</v>
      </c>
      <c r="V72" s="2">
        <f>IF(COUNTIF(Roster!$D72:$M72,V$1)&gt;0,$B72,0)</f>
        <v>1</v>
      </c>
      <c r="W72" s="2">
        <f>IF(COUNTIF(Roster!$D72:$M72,W$1)&gt;0,$B72,0)</f>
        <v>0</v>
      </c>
      <c r="X72" s="2">
        <f t="shared" si="1"/>
        <v>5</v>
      </c>
    </row>
    <row r="73" spans="1:24" ht="15" customHeight="1" x14ac:dyDescent="0.3">
      <c r="A73" s="2">
        <f>Roster!A73</f>
        <v>72</v>
      </c>
      <c r="B73" s="2">
        <f>Roster!C73</f>
        <v>1</v>
      </c>
      <c r="C73" s="2">
        <f>IF(COUNTIF(Roster!$D73:$M73,C$1)&gt;0,$B73,0)</f>
        <v>1</v>
      </c>
      <c r="D73" s="2">
        <f>IF(COUNTIF(Roster!$D73:$M73,D$1)&gt;0,$B73,0)</f>
        <v>1</v>
      </c>
      <c r="E73" s="2">
        <f>IF(COUNTIF(Roster!$D73:$M73,E$1)&gt;0,$B73,0)</f>
        <v>1</v>
      </c>
      <c r="F73" s="2">
        <f>IF(COUNTIF(Roster!$D73:$M73,F$1)&gt;0,$B73,0)</f>
        <v>0</v>
      </c>
      <c r="G73" s="2">
        <f>IF(COUNTIF(Roster!$D73:$M73,G$1)&gt;0,$B73,0)</f>
        <v>1</v>
      </c>
      <c r="H73" s="2">
        <f>IF(COUNTIF(Roster!$D73:$M73,H$1)&gt;0,$B73,0)</f>
        <v>0</v>
      </c>
      <c r="I73" s="2">
        <f>IF(COUNTIF(Roster!$D73:$M73,I$1)&gt;0,$B73,0)</f>
        <v>1</v>
      </c>
      <c r="J73" s="2">
        <f>IF(COUNTIF(Roster!$D73:$M73,J$1)&gt;0,$B73,0)</f>
        <v>1</v>
      </c>
      <c r="K73" s="2">
        <f>IF(COUNTIF(Roster!$D73:$M73,K$1)&gt;0,$B73,0)</f>
        <v>0</v>
      </c>
      <c r="L73" s="2">
        <f>IF(COUNTIF(Roster!$D73:$M73,L$1)&gt;0,$B73,0)</f>
        <v>0</v>
      </c>
      <c r="M73" s="2">
        <f>IF(COUNTIF(Roster!$D73:$M73,M$1)&gt;0,$B73,0)</f>
        <v>1</v>
      </c>
      <c r="N73" s="2">
        <f>IF(COUNTIF(Roster!$D73:$M73,N$1)&gt;0,$B73,0)</f>
        <v>0</v>
      </c>
      <c r="O73" s="2">
        <f>IF(COUNTIF(Roster!$D73:$M73,O$1)&gt;0,$B73,0)</f>
        <v>0</v>
      </c>
      <c r="P73" s="2">
        <f>IF(COUNTIF(Roster!$D73:$M73,P$1)&gt;0,$B73,0)</f>
        <v>0</v>
      </c>
      <c r="Q73" s="2">
        <f>IF(COUNTIF(Roster!$D73:$M73,Q$1)&gt;0,$B73,0)</f>
        <v>1</v>
      </c>
      <c r="R73" s="2">
        <f>IF(COUNTIF(Roster!$D73:$M73,R$1)&gt;0,$B73,0)</f>
        <v>0</v>
      </c>
      <c r="S73" s="2">
        <f>IF(COUNTIF(Roster!$D73:$M73,S$1)&gt;0,$B73,0)</f>
        <v>0</v>
      </c>
      <c r="T73" s="2">
        <f>IF(COUNTIF(Roster!$D73:$M73,T$1)&gt;0,$B73,0)</f>
        <v>0</v>
      </c>
      <c r="U73" s="2">
        <f>IF(COUNTIF(Roster!$D73:$M73,U$1)&gt;0,$B73,0)</f>
        <v>0</v>
      </c>
      <c r="V73" s="2">
        <f>IF(COUNTIF(Roster!$D73:$M73,V$1)&gt;0,$B73,0)</f>
        <v>0</v>
      </c>
      <c r="W73" s="2">
        <f>IF(COUNTIF(Roster!$D73:$M73,W$1)&gt;0,$B73,0)</f>
        <v>0</v>
      </c>
      <c r="X73" s="2">
        <f t="shared" si="1"/>
        <v>4</v>
      </c>
    </row>
    <row r="74" spans="1:24" ht="15" customHeight="1" x14ac:dyDescent="0.3">
      <c r="A74" s="2">
        <f>Roster!A74</f>
        <v>73</v>
      </c>
      <c r="B74" s="2">
        <f>Roster!C74</f>
        <v>1</v>
      </c>
      <c r="C74" s="2">
        <f>IF(COUNTIF(Roster!$D74:$M74,C$1)&gt;0,$B74,0)</f>
        <v>1</v>
      </c>
      <c r="D74" s="2">
        <f>IF(COUNTIF(Roster!$D74:$M74,D$1)&gt;0,$B74,0)</f>
        <v>1</v>
      </c>
      <c r="E74" s="2">
        <f>IF(COUNTIF(Roster!$D74:$M74,E$1)&gt;0,$B74,0)</f>
        <v>1</v>
      </c>
      <c r="F74" s="2">
        <f>IF(COUNTIF(Roster!$D74:$M74,F$1)&gt;0,$B74,0)</f>
        <v>1</v>
      </c>
      <c r="G74" s="2">
        <f>IF(COUNTIF(Roster!$D74:$M74,G$1)&gt;0,$B74,0)</f>
        <v>0</v>
      </c>
      <c r="H74" s="2">
        <f>IF(COUNTIF(Roster!$D74:$M74,H$1)&gt;0,$B74,0)</f>
        <v>1</v>
      </c>
      <c r="I74" s="2">
        <f>IF(COUNTIF(Roster!$D74:$M74,I$1)&gt;0,$B74,0)</f>
        <v>1</v>
      </c>
      <c r="J74" s="2">
        <f>IF(COUNTIF(Roster!$D74:$M74,J$1)&gt;0,$B74,0)</f>
        <v>0</v>
      </c>
      <c r="K74" s="2">
        <f>IF(COUNTIF(Roster!$D74:$M74,K$1)&gt;0,$B74,0)</f>
        <v>1</v>
      </c>
      <c r="L74" s="2">
        <f>IF(COUNTIF(Roster!$D74:$M74,L$1)&gt;0,$B74,0)</f>
        <v>0</v>
      </c>
      <c r="M74" s="2">
        <f>IF(COUNTIF(Roster!$D74:$M74,M$1)&gt;0,$B74,0)</f>
        <v>0</v>
      </c>
      <c r="N74" s="2">
        <f>IF(COUNTIF(Roster!$D74:$M74,N$1)&gt;0,$B74,0)</f>
        <v>0</v>
      </c>
      <c r="O74" s="2">
        <f>IF(COUNTIF(Roster!$D74:$M74,O$1)&gt;0,$B74,0)</f>
        <v>0</v>
      </c>
      <c r="P74" s="2">
        <f>IF(COUNTIF(Roster!$D74:$M74,P$1)&gt;0,$B74,0)</f>
        <v>0</v>
      </c>
      <c r="Q74" s="2">
        <f>IF(COUNTIF(Roster!$D74:$M74,Q$1)&gt;0,$B74,0)</f>
        <v>0</v>
      </c>
      <c r="R74" s="2">
        <f>IF(COUNTIF(Roster!$D74:$M74,R$1)&gt;0,$B74,0)</f>
        <v>0</v>
      </c>
      <c r="S74" s="2">
        <f>IF(COUNTIF(Roster!$D74:$M74,S$1)&gt;0,$B74,0)</f>
        <v>0</v>
      </c>
      <c r="T74" s="2">
        <f>IF(COUNTIF(Roster!$D74:$M74,T$1)&gt;0,$B74,0)</f>
        <v>0</v>
      </c>
      <c r="U74" s="2">
        <f>IF(COUNTIF(Roster!$D74:$M74,U$1)&gt;0,$B74,0)</f>
        <v>1</v>
      </c>
      <c r="V74" s="2">
        <f>IF(COUNTIF(Roster!$D74:$M74,V$1)&gt;0,$B74,0)</f>
        <v>0</v>
      </c>
      <c r="W74" s="2">
        <f>IF(COUNTIF(Roster!$D74:$M74,W$1)&gt;0,$B74,0)</f>
        <v>0</v>
      </c>
      <c r="X74" s="2">
        <f t="shared" si="1"/>
        <v>4</v>
      </c>
    </row>
    <row r="75" spans="1:24" ht="15" customHeight="1" x14ac:dyDescent="0.3">
      <c r="A75" s="2">
        <f>Roster!A75</f>
        <v>74</v>
      </c>
      <c r="B75" s="2">
        <f>Roster!C75</f>
        <v>1</v>
      </c>
      <c r="C75" s="2">
        <f>IF(COUNTIF(Roster!$D75:$M75,C$1)&gt;0,$B75,0)</f>
        <v>1</v>
      </c>
      <c r="D75" s="2">
        <f>IF(COUNTIF(Roster!$D75:$M75,D$1)&gt;0,$B75,0)</f>
        <v>1</v>
      </c>
      <c r="E75" s="2">
        <f>IF(COUNTIF(Roster!$D75:$M75,E$1)&gt;0,$B75,0)</f>
        <v>1</v>
      </c>
      <c r="F75" s="2">
        <f>IF(COUNTIF(Roster!$D75:$M75,F$1)&gt;0,$B75,0)</f>
        <v>1</v>
      </c>
      <c r="G75" s="2">
        <f>IF(COUNTIF(Roster!$D75:$M75,G$1)&gt;0,$B75,0)</f>
        <v>0</v>
      </c>
      <c r="H75" s="2">
        <f>IF(COUNTIF(Roster!$D75:$M75,H$1)&gt;0,$B75,0)</f>
        <v>0</v>
      </c>
      <c r="I75" s="2">
        <f>IF(COUNTIF(Roster!$D75:$M75,I$1)&gt;0,$B75,0)</f>
        <v>1</v>
      </c>
      <c r="J75" s="2">
        <f>IF(COUNTIF(Roster!$D75:$M75,J$1)&gt;0,$B75,0)</f>
        <v>1</v>
      </c>
      <c r="K75" s="2">
        <f>IF(COUNTIF(Roster!$D75:$M75,K$1)&gt;0,$B75,0)</f>
        <v>0</v>
      </c>
      <c r="L75" s="2">
        <f>IF(COUNTIF(Roster!$D75:$M75,L$1)&gt;0,$B75,0)</f>
        <v>0</v>
      </c>
      <c r="M75" s="2">
        <f>IF(COUNTIF(Roster!$D75:$M75,M$1)&gt;0,$B75,0)</f>
        <v>0</v>
      </c>
      <c r="N75" s="2">
        <f>IF(COUNTIF(Roster!$D75:$M75,N$1)&gt;0,$B75,0)</f>
        <v>0</v>
      </c>
      <c r="O75" s="2">
        <f>IF(COUNTIF(Roster!$D75:$M75,O$1)&gt;0,$B75,0)</f>
        <v>0</v>
      </c>
      <c r="P75" s="2">
        <f>IF(COUNTIF(Roster!$D75:$M75,P$1)&gt;0,$B75,0)</f>
        <v>0</v>
      </c>
      <c r="Q75" s="2">
        <f>IF(COUNTIF(Roster!$D75:$M75,Q$1)&gt;0,$B75,0)</f>
        <v>0</v>
      </c>
      <c r="R75" s="2">
        <f>IF(COUNTIF(Roster!$D75:$M75,R$1)&gt;0,$B75,0)</f>
        <v>0</v>
      </c>
      <c r="S75" s="2">
        <f>IF(COUNTIF(Roster!$D75:$M75,S$1)&gt;0,$B75,0)</f>
        <v>1</v>
      </c>
      <c r="T75" s="2">
        <f>IF(COUNTIF(Roster!$D75:$M75,T$1)&gt;0,$B75,0)</f>
        <v>0</v>
      </c>
      <c r="U75" s="2">
        <f>IF(COUNTIF(Roster!$D75:$M75,U$1)&gt;0,$B75,0)</f>
        <v>1</v>
      </c>
      <c r="V75" s="2">
        <f>IF(COUNTIF(Roster!$D75:$M75,V$1)&gt;0,$B75,0)</f>
        <v>0</v>
      </c>
      <c r="W75" s="2">
        <f>IF(COUNTIF(Roster!$D75:$M75,W$1)&gt;0,$B75,0)</f>
        <v>0</v>
      </c>
      <c r="X75" s="2">
        <f t="shared" si="1"/>
        <v>4</v>
      </c>
    </row>
    <row r="76" spans="1:24" ht="15" customHeight="1" x14ac:dyDescent="0.3">
      <c r="A76" s="2">
        <f>Roster!A76</f>
        <v>75</v>
      </c>
      <c r="B76" s="2">
        <f>Roster!C76</f>
        <v>1</v>
      </c>
      <c r="C76" s="2">
        <f>IF(COUNTIF(Roster!$D76:$M76,C$1)&gt;0,$B76,0)</f>
        <v>1</v>
      </c>
      <c r="D76" s="2">
        <f>IF(COUNTIF(Roster!$D76:$M76,D$1)&gt;0,$B76,0)</f>
        <v>1</v>
      </c>
      <c r="E76" s="2">
        <f>IF(COUNTIF(Roster!$D76:$M76,E$1)&gt;0,$B76,0)</f>
        <v>1</v>
      </c>
      <c r="F76" s="2">
        <f>IF(COUNTIF(Roster!$D76:$M76,F$1)&gt;0,$B76,0)</f>
        <v>1</v>
      </c>
      <c r="G76" s="2">
        <f>IF(COUNTIF(Roster!$D76:$M76,G$1)&gt;0,$B76,0)</f>
        <v>0</v>
      </c>
      <c r="H76" s="2">
        <f>IF(COUNTIF(Roster!$D76:$M76,H$1)&gt;0,$B76,0)</f>
        <v>1</v>
      </c>
      <c r="I76" s="2">
        <f>IF(COUNTIF(Roster!$D76:$M76,I$1)&gt;0,$B76,0)</f>
        <v>1</v>
      </c>
      <c r="J76" s="2">
        <f>IF(COUNTIF(Roster!$D76:$M76,J$1)&gt;0,$B76,0)</f>
        <v>0</v>
      </c>
      <c r="K76" s="2">
        <f>IF(COUNTIF(Roster!$D76:$M76,K$1)&gt;0,$B76,0)</f>
        <v>0</v>
      </c>
      <c r="L76" s="2">
        <f>IF(COUNTIF(Roster!$D76:$M76,L$1)&gt;0,$B76,0)</f>
        <v>0</v>
      </c>
      <c r="M76" s="2">
        <f>IF(COUNTIF(Roster!$D76:$M76,M$1)&gt;0,$B76,0)</f>
        <v>0</v>
      </c>
      <c r="N76" s="2">
        <f>IF(COUNTIF(Roster!$D76:$M76,N$1)&gt;0,$B76,0)</f>
        <v>0</v>
      </c>
      <c r="O76" s="2">
        <f>IF(COUNTIF(Roster!$D76:$M76,O$1)&gt;0,$B76,0)</f>
        <v>0</v>
      </c>
      <c r="P76" s="2">
        <f>IF(COUNTIF(Roster!$D76:$M76,P$1)&gt;0,$B76,0)</f>
        <v>0</v>
      </c>
      <c r="Q76" s="2">
        <f>IF(COUNTIF(Roster!$D76:$M76,Q$1)&gt;0,$B76,0)</f>
        <v>0</v>
      </c>
      <c r="R76" s="2">
        <f>IF(COUNTIF(Roster!$D76:$M76,R$1)&gt;0,$B76,0)</f>
        <v>0</v>
      </c>
      <c r="S76" s="2">
        <f>IF(COUNTIF(Roster!$D76:$M76,S$1)&gt;0,$B76,0)</f>
        <v>1</v>
      </c>
      <c r="T76" s="2">
        <f>IF(COUNTIF(Roster!$D76:$M76,T$1)&gt;0,$B76,0)</f>
        <v>0</v>
      </c>
      <c r="U76" s="2">
        <f>IF(COUNTIF(Roster!$D76:$M76,U$1)&gt;0,$B76,0)</f>
        <v>1</v>
      </c>
      <c r="V76" s="2">
        <f>IF(COUNTIF(Roster!$D76:$M76,V$1)&gt;0,$B76,0)</f>
        <v>0</v>
      </c>
      <c r="W76" s="2">
        <f>IF(COUNTIF(Roster!$D76:$M76,W$1)&gt;0,$B76,0)</f>
        <v>0</v>
      </c>
      <c r="X76" s="2">
        <f t="shared" si="1"/>
        <v>4</v>
      </c>
    </row>
    <row r="77" spans="1:24" ht="15" customHeight="1" x14ac:dyDescent="0.3">
      <c r="A77" s="2">
        <f>Roster!A77</f>
        <v>76</v>
      </c>
      <c r="B77" s="2">
        <f>Roster!C77</f>
        <v>1</v>
      </c>
      <c r="C77" s="2">
        <f>IF(COUNTIF(Roster!$D77:$M77,C$1)&gt;0,$B77,0)</f>
        <v>1</v>
      </c>
      <c r="D77" s="2">
        <f>IF(COUNTIF(Roster!$D77:$M77,D$1)&gt;0,$B77,0)</f>
        <v>1</v>
      </c>
      <c r="E77" s="2">
        <f>IF(COUNTIF(Roster!$D77:$M77,E$1)&gt;0,$B77,0)</f>
        <v>1</v>
      </c>
      <c r="F77" s="2">
        <f>IF(COUNTIF(Roster!$D77:$M77,F$1)&gt;0,$B77,0)</f>
        <v>1</v>
      </c>
      <c r="G77" s="2">
        <f>IF(COUNTIF(Roster!$D77:$M77,G$1)&gt;0,$B77,0)</f>
        <v>0</v>
      </c>
      <c r="H77" s="2">
        <f>IF(COUNTIF(Roster!$D77:$M77,H$1)&gt;0,$B77,0)</f>
        <v>0</v>
      </c>
      <c r="I77" s="2">
        <f>IF(COUNTIF(Roster!$D77:$M77,I$1)&gt;0,$B77,0)</f>
        <v>1</v>
      </c>
      <c r="J77" s="2">
        <f>IF(COUNTIF(Roster!$D77:$M77,J$1)&gt;0,$B77,0)</f>
        <v>1</v>
      </c>
      <c r="K77" s="2">
        <f>IF(COUNTIF(Roster!$D77:$M77,K$1)&gt;0,$B77,0)</f>
        <v>1</v>
      </c>
      <c r="L77" s="2">
        <f>IF(COUNTIF(Roster!$D77:$M77,L$1)&gt;0,$B77,0)</f>
        <v>0</v>
      </c>
      <c r="M77" s="2">
        <f>IF(COUNTIF(Roster!$D77:$M77,M$1)&gt;0,$B77,0)</f>
        <v>0</v>
      </c>
      <c r="N77" s="2">
        <f>IF(COUNTIF(Roster!$D77:$M77,N$1)&gt;0,$B77,0)</f>
        <v>0</v>
      </c>
      <c r="O77" s="2">
        <f>IF(COUNTIF(Roster!$D77:$M77,O$1)&gt;0,$B77,0)</f>
        <v>0</v>
      </c>
      <c r="P77" s="2">
        <f>IF(COUNTIF(Roster!$D77:$M77,P$1)&gt;0,$B77,0)</f>
        <v>0</v>
      </c>
      <c r="Q77" s="2">
        <f>IF(COUNTIF(Roster!$D77:$M77,Q$1)&gt;0,$B77,0)</f>
        <v>0</v>
      </c>
      <c r="R77" s="2">
        <f>IF(COUNTIF(Roster!$D77:$M77,R$1)&gt;0,$B77,0)</f>
        <v>0</v>
      </c>
      <c r="S77" s="2">
        <f>IF(COUNTIF(Roster!$D77:$M77,S$1)&gt;0,$B77,0)</f>
        <v>1</v>
      </c>
      <c r="T77" s="2">
        <f>IF(COUNTIF(Roster!$D77:$M77,T$1)&gt;0,$B77,0)</f>
        <v>0</v>
      </c>
      <c r="U77" s="2">
        <f>IF(COUNTIF(Roster!$D77:$M77,U$1)&gt;0,$B77,0)</f>
        <v>1</v>
      </c>
      <c r="V77" s="2">
        <f>IF(COUNTIF(Roster!$D77:$M77,V$1)&gt;0,$B77,0)</f>
        <v>0</v>
      </c>
      <c r="W77" s="2">
        <f>IF(COUNTIF(Roster!$D77:$M77,W$1)&gt;0,$B77,0)</f>
        <v>0</v>
      </c>
      <c r="X77" s="2">
        <f t="shared" si="1"/>
        <v>5</v>
      </c>
    </row>
    <row r="78" spans="1:24" ht="15" customHeight="1" x14ac:dyDescent="0.3">
      <c r="A78" s="2">
        <f>Roster!A78</f>
        <v>77</v>
      </c>
      <c r="B78" s="2">
        <f>Roster!C78</f>
        <v>1</v>
      </c>
      <c r="C78" s="2">
        <f>IF(COUNTIF(Roster!$D78:$M78,C$1)&gt;0,$B78,0)</f>
        <v>1</v>
      </c>
      <c r="D78" s="2">
        <f>IF(COUNTIF(Roster!$D78:$M78,D$1)&gt;0,$B78,0)</f>
        <v>1</v>
      </c>
      <c r="E78" s="2">
        <f>IF(COUNTIF(Roster!$D78:$M78,E$1)&gt;0,$B78,0)</f>
        <v>1</v>
      </c>
      <c r="F78" s="2">
        <f>IF(COUNTIF(Roster!$D78:$M78,F$1)&gt;0,$B78,0)</f>
        <v>1</v>
      </c>
      <c r="G78" s="2">
        <f>IF(COUNTIF(Roster!$D78:$M78,G$1)&gt;0,$B78,0)</f>
        <v>0</v>
      </c>
      <c r="H78" s="2">
        <f>IF(COUNTIF(Roster!$D78:$M78,H$1)&gt;0,$B78,0)</f>
        <v>1</v>
      </c>
      <c r="I78" s="2">
        <f>IF(COUNTIF(Roster!$D78:$M78,I$1)&gt;0,$B78,0)</f>
        <v>1</v>
      </c>
      <c r="J78" s="2">
        <f>IF(COUNTIF(Roster!$D78:$M78,J$1)&gt;0,$B78,0)</f>
        <v>0</v>
      </c>
      <c r="K78" s="2">
        <f>IF(COUNTIF(Roster!$D78:$M78,K$1)&gt;0,$B78,0)</f>
        <v>0</v>
      </c>
      <c r="L78" s="2">
        <f>IF(COUNTIF(Roster!$D78:$M78,L$1)&gt;0,$B78,0)</f>
        <v>0</v>
      </c>
      <c r="M78" s="2">
        <f>IF(COUNTIF(Roster!$D78:$M78,M$1)&gt;0,$B78,0)</f>
        <v>0</v>
      </c>
      <c r="N78" s="2">
        <f>IF(COUNTIF(Roster!$D78:$M78,N$1)&gt;0,$B78,0)</f>
        <v>0</v>
      </c>
      <c r="O78" s="2">
        <f>IF(COUNTIF(Roster!$D78:$M78,O$1)&gt;0,$B78,0)</f>
        <v>0</v>
      </c>
      <c r="P78" s="2">
        <f>IF(COUNTIF(Roster!$D78:$M78,P$1)&gt;0,$B78,0)</f>
        <v>0</v>
      </c>
      <c r="Q78" s="2">
        <f>IF(COUNTIF(Roster!$D78:$M78,Q$1)&gt;0,$B78,0)</f>
        <v>0</v>
      </c>
      <c r="R78" s="2">
        <f>IF(COUNTIF(Roster!$D78:$M78,R$1)&gt;0,$B78,0)</f>
        <v>0</v>
      </c>
      <c r="S78" s="2">
        <f>IF(COUNTIF(Roster!$D78:$M78,S$1)&gt;0,$B78,0)</f>
        <v>1</v>
      </c>
      <c r="T78" s="2">
        <f>IF(COUNTIF(Roster!$D78:$M78,T$1)&gt;0,$B78,0)</f>
        <v>0</v>
      </c>
      <c r="U78" s="2">
        <f>IF(COUNTIF(Roster!$D78:$M78,U$1)&gt;0,$B78,0)</f>
        <v>1</v>
      </c>
      <c r="V78" s="2">
        <f>IF(COUNTIF(Roster!$D78:$M78,V$1)&gt;0,$B78,0)</f>
        <v>0</v>
      </c>
      <c r="W78" s="2">
        <f>IF(COUNTIF(Roster!$D78:$M78,W$1)&gt;0,$B78,0)</f>
        <v>0</v>
      </c>
      <c r="X78" s="2">
        <f t="shared" si="1"/>
        <v>4</v>
      </c>
    </row>
    <row r="79" spans="1:24" ht="15" customHeight="1" x14ac:dyDescent="0.3">
      <c r="A79" s="2">
        <f>Roster!A79</f>
        <v>78</v>
      </c>
      <c r="B79" s="2">
        <f>Roster!C79</f>
        <v>1</v>
      </c>
      <c r="C79" s="2">
        <f>IF(COUNTIF(Roster!$D79:$M79,C$1)&gt;0,$B79,0)</f>
        <v>1</v>
      </c>
      <c r="D79" s="2">
        <f>IF(COUNTIF(Roster!$D79:$M79,D$1)&gt;0,$B79,0)</f>
        <v>1</v>
      </c>
      <c r="E79" s="2">
        <f>IF(COUNTIF(Roster!$D79:$M79,E$1)&gt;0,$B79,0)</f>
        <v>1</v>
      </c>
      <c r="F79" s="2">
        <f>IF(COUNTIF(Roster!$D79:$M79,F$1)&gt;0,$B79,0)</f>
        <v>0</v>
      </c>
      <c r="G79" s="2">
        <f>IF(COUNTIF(Roster!$D79:$M79,G$1)&gt;0,$B79,0)</f>
        <v>1</v>
      </c>
      <c r="H79" s="2">
        <f>IF(COUNTIF(Roster!$D79:$M79,H$1)&gt;0,$B79,0)</f>
        <v>0</v>
      </c>
      <c r="I79" s="2">
        <f>IF(COUNTIF(Roster!$D79:$M79,I$1)&gt;0,$B79,0)</f>
        <v>1</v>
      </c>
      <c r="J79" s="2">
        <f>IF(COUNTIF(Roster!$D79:$M79,J$1)&gt;0,$B79,0)</f>
        <v>1</v>
      </c>
      <c r="K79" s="2">
        <f>IF(COUNTIF(Roster!$D79:$M79,K$1)&gt;0,$B79,0)</f>
        <v>0</v>
      </c>
      <c r="L79" s="2">
        <f>IF(COUNTIF(Roster!$D79:$M79,L$1)&gt;0,$B79,0)</f>
        <v>0</v>
      </c>
      <c r="M79" s="2">
        <f>IF(COUNTIF(Roster!$D79:$M79,M$1)&gt;0,$B79,0)</f>
        <v>1</v>
      </c>
      <c r="N79" s="2">
        <f>IF(COUNTIF(Roster!$D79:$M79,N$1)&gt;0,$B79,0)</f>
        <v>0</v>
      </c>
      <c r="O79" s="2">
        <f>IF(COUNTIF(Roster!$D79:$M79,O$1)&gt;0,$B79,0)</f>
        <v>0</v>
      </c>
      <c r="P79" s="2">
        <f>IF(COUNTIF(Roster!$D79:$M79,P$1)&gt;0,$B79,0)</f>
        <v>0</v>
      </c>
      <c r="Q79" s="2">
        <f>IF(COUNTIF(Roster!$D79:$M79,Q$1)&gt;0,$B79,0)</f>
        <v>0</v>
      </c>
      <c r="R79" s="2">
        <f>IF(COUNTIF(Roster!$D79:$M79,R$1)&gt;0,$B79,0)</f>
        <v>0</v>
      </c>
      <c r="S79" s="2">
        <f>IF(COUNTIF(Roster!$D79:$M79,S$1)&gt;0,$B79,0)</f>
        <v>1</v>
      </c>
      <c r="T79" s="2">
        <f>IF(COUNTIF(Roster!$D79:$M79,T$1)&gt;0,$B79,0)</f>
        <v>0</v>
      </c>
      <c r="U79" s="2">
        <f>IF(COUNTIF(Roster!$D79:$M79,U$1)&gt;0,$B79,0)</f>
        <v>0</v>
      </c>
      <c r="V79" s="2">
        <f>IF(COUNTIF(Roster!$D79:$M79,V$1)&gt;0,$B79,0)</f>
        <v>0</v>
      </c>
      <c r="W79" s="2">
        <f>IF(COUNTIF(Roster!$D79:$M79,W$1)&gt;0,$B79,0)</f>
        <v>0</v>
      </c>
      <c r="X79" s="2">
        <f t="shared" si="1"/>
        <v>4</v>
      </c>
    </row>
    <row r="80" spans="1:24" ht="15" customHeight="1" x14ac:dyDescent="0.3">
      <c r="A80" s="2">
        <f>Roster!A80</f>
        <v>79</v>
      </c>
      <c r="B80" s="2">
        <f>Roster!C80</f>
        <v>1</v>
      </c>
      <c r="C80" s="2">
        <f>IF(COUNTIF(Roster!$D80:$M80,C$1)&gt;0,$B80,0)</f>
        <v>1</v>
      </c>
      <c r="D80" s="2">
        <f>IF(COUNTIF(Roster!$D80:$M80,D$1)&gt;0,$B80,0)</f>
        <v>1</v>
      </c>
      <c r="E80" s="2">
        <f>IF(COUNTIF(Roster!$D80:$M80,E$1)&gt;0,$B80,0)</f>
        <v>1</v>
      </c>
      <c r="F80" s="2">
        <f>IF(COUNTIF(Roster!$D80:$M80,F$1)&gt;0,$B80,0)</f>
        <v>1</v>
      </c>
      <c r="G80" s="2">
        <f>IF(COUNTIF(Roster!$D80:$M80,G$1)&gt;0,$B80,0)</f>
        <v>0</v>
      </c>
      <c r="H80" s="2">
        <f>IF(COUNTIF(Roster!$D80:$M80,H$1)&gt;0,$B80,0)</f>
        <v>0</v>
      </c>
      <c r="I80" s="2">
        <f>IF(COUNTIF(Roster!$D80:$M80,I$1)&gt;0,$B80,0)</f>
        <v>1</v>
      </c>
      <c r="J80" s="2">
        <f>IF(COUNTIF(Roster!$D80:$M80,J$1)&gt;0,$B80,0)</f>
        <v>1</v>
      </c>
      <c r="K80" s="2">
        <f>IF(COUNTIF(Roster!$D80:$M80,K$1)&gt;0,$B80,0)</f>
        <v>0</v>
      </c>
      <c r="L80" s="2">
        <f>IF(COUNTIF(Roster!$D80:$M80,L$1)&gt;0,$B80,0)</f>
        <v>1</v>
      </c>
      <c r="M80" s="2">
        <f>IF(COUNTIF(Roster!$D80:$M80,M$1)&gt;0,$B80,0)</f>
        <v>0</v>
      </c>
      <c r="N80" s="2">
        <f>IF(COUNTIF(Roster!$D80:$M80,N$1)&gt;0,$B80,0)</f>
        <v>0</v>
      </c>
      <c r="O80" s="2">
        <f>IF(COUNTIF(Roster!$D80:$M80,O$1)&gt;0,$B80,0)</f>
        <v>0</v>
      </c>
      <c r="P80" s="2">
        <f>IF(COUNTIF(Roster!$D80:$M80,P$1)&gt;0,$B80,0)</f>
        <v>0</v>
      </c>
      <c r="Q80" s="2">
        <f>IF(COUNTIF(Roster!$D80:$M80,Q$1)&gt;0,$B80,0)</f>
        <v>0</v>
      </c>
      <c r="R80" s="2">
        <f>IF(COUNTIF(Roster!$D80:$M80,R$1)&gt;0,$B80,0)</f>
        <v>0</v>
      </c>
      <c r="S80" s="2">
        <f>IF(COUNTIF(Roster!$D80:$M80,S$1)&gt;0,$B80,0)</f>
        <v>1</v>
      </c>
      <c r="T80" s="2">
        <f>IF(COUNTIF(Roster!$D80:$M80,T$1)&gt;0,$B80,0)</f>
        <v>0</v>
      </c>
      <c r="U80" s="2">
        <f>IF(COUNTIF(Roster!$D80:$M80,U$1)&gt;0,$B80,0)</f>
        <v>0</v>
      </c>
      <c r="V80" s="2">
        <f>IF(COUNTIF(Roster!$D80:$M80,V$1)&gt;0,$B80,0)</f>
        <v>0</v>
      </c>
      <c r="W80" s="2">
        <f>IF(COUNTIF(Roster!$D80:$M80,W$1)&gt;0,$B80,0)</f>
        <v>0</v>
      </c>
      <c r="X80" s="2">
        <f t="shared" si="1"/>
        <v>4</v>
      </c>
    </row>
    <row r="81" spans="1:24" ht="15" customHeight="1" x14ac:dyDescent="0.3">
      <c r="A81" s="2">
        <f>Roster!A81</f>
        <v>80</v>
      </c>
      <c r="B81" s="2">
        <f>Roster!C81</f>
        <v>1</v>
      </c>
      <c r="C81" s="2">
        <f>IF(COUNTIF(Roster!$D81:$M81,C$1)&gt;0,$B81,0)</f>
        <v>1</v>
      </c>
      <c r="D81" s="2">
        <f>IF(COUNTIF(Roster!$D81:$M81,D$1)&gt;0,$B81,0)</f>
        <v>1</v>
      </c>
      <c r="E81" s="2">
        <f>IF(COUNTIF(Roster!$D81:$M81,E$1)&gt;0,$B81,0)</f>
        <v>1</v>
      </c>
      <c r="F81" s="2">
        <f>IF(COUNTIF(Roster!$D81:$M81,F$1)&gt;0,$B81,0)</f>
        <v>1</v>
      </c>
      <c r="G81" s="2">
        <f>IF(COUNTIF(Roster!$D81:$M81,G$1)&gt;0,$B81,0)</f>
        <v>0</v>
      </c>
      <c r="H81" s="2">
        <f>IF(COUNTIF(Roster!$D81:$M81,H$1)&gt;0,$B81,0)</f>
        <v>1</v>
      </c>
      <c r="I81" s="2">
        <f>IF(COUNTIF(Roster!$D81:$M81,I$1)&gt;0,$B81,0)</f>
        <v>1</v>
      </c>
      <c r="J81" s="2">
        <f>IF(COUNTIF(Roster!$D81:$M81,J$1)&gt;0,$B81,0)</f>
        <v>0</v>
      </c>
      <c r="K81" s="2">
        <f>IF(COUNTIF(Roster!$D81:$M81,K$1)&gt;0,$B81,0)</f>
        <v>0</v>
      </c>
      <c r="L81" s="2">
        <f>IF(COUNTIF(Roster!$D81:$M81,L$1)&gt;0,$B81,0)</f>
        <v>0</v>
      </c>
      <c r="M81" s="2">
        <f>IF(COUNTIF(Roster!$D81:$M81,M$1)&gt;0,$B81,0)</f>
        <v>0</v>
      </c>
      <c r="N81" s="2">
        <f>IF(COUNTIF(Roster!$D81:$M81,N$1)&gt;0,$B81,0)</f>
        <v>0</v>
      </c>
      <c r="O81" s="2">
        <f>IF(COUNTIF(Roster!$D81:$M81,O$1)&gt;0,$B81,0)</f>
        <v>0</v>
      </c>
      <c r="P81" s="2">
        <f>IF(COUNTIF(Roster!$D81:$M81,P$1)&gt;0,$B81,0)</f>
        <v>0</v>
      </c>
      <c r="Q81" s="2">
        <f>IF(COUNTIF(Roster!$D81:$M81,Q$1)&gt;0,$B81,0)</f>
        <v>0</v>
      </c>
      <c r="R81" s="2">
        <f>IF(COUNTIF(Roster!$D81:$M81,R$1)&gt;0,$B81,0)</f>
        <v>1</v>
      </c>
      <c r="S81" s="2">
        <f>IF(COUNTIF(Roster!$D81:$M81,S$1)&gt;0,$B81,0)</f>
        <v>0</v>
      </c>
      <c r="T81" s="2">
        <f>IF(COUNTIF(Roster!$D81:$M81,T$1)&gt;0,$B81,0)</f>
        <v>0</v>
      </c>
      <c r="U81" s="2">
        <f>IF(COUNTIF(Roster!$D81:$M81,U$1)&gt;0,$B81,0)</f>
        <v>1</v>
      </c>
      <c r="V81" s="2">
        <f>IF(COUNTIF(Roster!$D81:$M81,V$1)&gt;0,$B81,0)</f>
        <v>0</v>
      </c>
      <c r="W81" s="2">
        <f>IF(COUNTIF(Roster!$D81:$M81,W$1)&gt;0,$B81,0)</f>
        <v>0</v>
      </c>
      <c r="X81" s="2">
        <f t="shared" si="1"/>
        <v>4</v>
      </c>
    </row>
    <row r="82" spans="1:24" ht="15" customHeight="1" x14ac:dyDescent="0.3">
      <c r="A82" s="2">
        <f>Roster!A82</f>
        <v>81</v>
      </c>
      <c r="B82" s="2">
        <f>Roster!C82</f>
        <v>1</v>
      </c>
      <c r="C82" s="2">
        <f>IF(COUNTIF(Roster!$D82:$M82,C$1)&gt;0,$B82,0)</f>
        <v>1</v>
      </c>
      <c r="D82" s="2">
        <f>IF(COUNTIF(Roster!$D82:$M82,D$1)&gt;0,$B82,0)</f>
        <v>1</v>
      </c>
      <c r="E82" s="2">
        <f>IF(COUNTIF(Roster!$D82:$M82,E$1)&gt;0,$B82,0)</f>
        <v>1</v>
      </c>
      <c r="F82" s="2">
        <f>IF(COUNTIF(Roster!$D82:$M82,F$1)&gt;0,$B82,0)</f>
        <v>1</v>
      </c>
      <c r="G82" s="2">
        <f>IF(COUNTIF(Roster!$D82:$M82,G$1)&gt;0,$B82,0)</f>
        <v>0</v>
      </c>
      <c r="H82" s="2">
        <f>IF(COUNTIF(Roster!$D82:$M82,H$1)&gt;0,$B82,0)</f>
        <v>1</v>
      </c>
      <c r="I82" s="2">
        <f>IF(COUNTIF(Roster!$D82:$M82,I$1)&gt;0,$B82,0)</f>
        <v>1</v>
      </c>
      <c r="J82" s="2">
        <f>IF(COUNTIF(Roster!$D82:$M82,J$1)&gt;0,$B82,0)</f>
        <v>1</v>
      </c>
      <c r="K82" s="2">
        <f>IF(COUNTIF(Roster!$D82:$M82,K$1)&gt;0,$B82,0)</f>
        <v>0</v>
      </c>
      <c r="L82" s="2">
        <f>IF(COUNTIF(Roster!$D82:$M82,L$1)&gt;0,$B82,0)</f>
        <v>0</v>
      </c>
      <c r="M82" s="2">
        <f>IF(COUNTIF(Roster!$D82:$M82,M$1)&gt;0,$B82,0)</f>
        <v>1</v>
      </c>
      <c r="N82" s="2">
        <f>IF(COUNTIF(Roster!$D82:$M82,N$1)&gt;0,$B82,0)</f>
        <v>0</v>
      </c>
      <c r="O82" s="2">
        <f>IF(COUNTIF(Roster!$D82:$M82,O$1)&gt;0,$B82,0)</f>
        <v>0</v>
      </c>
      <c r="P82" s="2">
        <f>IF(COUNTIF(Roster!$D82:$M82,P$1)&gt;0,$B82,0)</f>
        <v>0</v>
      </c>
      <c r="Q82" s="2">
        <f>IF(COUNTIF(Roster!$D82:$M82,Q$1)&gt;0,$B82,0)</f>
        <v>0</v>
      </c>
      <c r="R82" s="2">
        <f>IF(COUNTIF(Roster!$D82:$M82,R$1)&gt;0,$B82,0)</f>
        <v>0</v>
      </c>
      <c r="S82" s="2">
        <f>IF(COUNTIF(Roster!$D82:$M82,S$1)&gt;0,$B82,0)</f>
        <v>0</v>
      </c>
      <c r="T82" s="2">
        <f>IF(COUNTIF(Roster!$D82:$M82,T$1)&gt;0,$B82,0)</f>
        <v>0</v>
      </c>
      <c r="U82" s="2">
        <f>IF(COUNTIF(Roster!$D82:$M82,U$1)&gt;0,$B82,0)</f>
        <v>0</v>
      </c>
      <c r="V82" s="2">
        <f>IF(COUNTIF(Roster!$D82:$M82,V$1)&gt;0,$B82,0)</f>
        <v>0</v>
      </c>
      <c r="W82" s="2">
        <f>IF(COUNTIF(Roster!$D82:$M82,W$1)&gt;0,$B82,0)</f>
        <v>0</v>
      </c>
      <c r="X82" s="2">
        <f t="shared" si="1"/>
        <v>4</v>
      </c>
    </row>
    <row r="83" spans="1:24" ht="15" customHeight="1" x14ac:dyDescent="0.3">
      <c r="A83" s="2">
        <f>Roster!A83</f>
        <v>82</v>
      </c>
      <c r="B83" s="2">
        <f>Roster!C83</f>
        <v>1</v>
      </c>
      <c r="C83" s="2">
        <f>IF(COUNTIF(Roster!$D83:$M83,C$1)&gt;0,$B83,0)</f>
        <v>1</v>
      </c>
      <c r="D83" s="2">
        <f>IF(COUNTIF(Roster!$D83:$M83,D$1)&gt;0,$B83,0)</f>
        <v>1</v>
      </c>
      <c r="E83" s="2">
        <f>IF(COUNTIF(Roster!$D83:$M83,E$1)&gt;0,$B83,0)</f>
        <v>1</v>
      </c>
      <c r="F83" s="2">
        <f>IF(COUNTIF(Roster!$D83:$M83,F$1)&gt;0,$B83,0)</f>
        <v>0</v>
      </c>
      <c r="G83" s="2">
        <f>IF(COUNTIF(Roster!$D83:$M83,G$1)&gt;0,$B83,0)</f>
        <v>1</v>
      </c>
      <c r="H83" s="2">
        <f>IF(COUNTIF(Roster!$D83:$M83,H$1)&gt;0,$B83,0)</f>
        <v>0</v>
      </c>
      <c r="I83" s="2">
        <f>IF(COUNTIF(Roster!$D83:$M83,I$1)&gt;0,$B83,0)</f>
        <v>1</v>
      </c>
      <c r="J83" s="2">
        <f>IF(COUNTIF(Roster!$D83:$M83,J$1)&gt;0,$B83,0)</f>
        <v>0</v>
      </c>
      <c r="K83" s="2">
        <f>IF(COUNTIF(Roster!$D83:$M83,K$1)&gt;0,$B83,0)</f>
        <v>0</v>
      </c>
      <c r="L83" s="2">
        <f>IF(COUNTIF(Roster!$D83:$M83,L$1)&gt;0,$B83,0)</f>
        <v>0</v>
      </c>
      <c r="M83" s="2">
        <f>IF(COUNTIF(Roster!$D83:$M83,M$1)&gt;0,$B83,0)</f>
        <v>1</v>
      </c>
      <c r="N83" s="2">
        <f>IF(COUNTIF(Roster!$D83:$M83,N$1)&gt;0,$B83,0)</f>
        <v>1</v>
      </c>
      <c r="O83" s="2">
        <f>IF(COUNTIF(Roster!$D83:$M83,O$1)&gt;0,$B83,0)</f>
        <v>0</v>
      </c>
      <c r="P83" s="2">
        <f>IF(COUNTIF(Roster!$D83:$M83,P$1)&gt;0,$B83,0)</f>
        <v>0</v>
      </c>
      <c r="Q83" s="2">
        <f>IF(COUNTIF(Roster!$D83:$M83,Q$1)&gt;0,$B83,0)</f>
        <v>0</v>
      </c>
      <c r="R83" s="2">
        <f>IF(COUNTIF(Roster!$D83:$M83,R$1)&gt;0,$B83,0)</f>
        <v>0</v>
      </c>
      <c r="S83" s="2">
        <f>IF(COUNTIF(Roster!$D83:$M83,S$1)&gt;0,$B83,0)</f>
        <v>0</v>
      </c>
      <c r="T83" s="2">
        <f>IF(COUNTIF(Roster!$D83:$M83,T$1)&gt;0,$B83,0)</f>
        <v>0</v>
      </c>
      <c r="U83" s="2">
        <f>IF(COUNTIF(Roster!$D83:$M83,U$1)&gt;0,$B83,0)</f>
        <v>0</v>
      </c>
      <c r="V83" s="2">
        <f>IF(COUNTIF(Roster!$D83:$M83,V$1)&gt;0,$B83,0)</f>
        <v>1</v>
      </c>
      <c r="W83" s="2">
        <f>IF(COUNTIF(Roster!$D83:$M83,W$1)&gt;0,$B83,0)</f>
        <v>0</v>
      </c>
      <c r="X83" s="2">
        <f t="shared" si="1"/>
        <v>4</v>
      </c>
    </row>
    <row r="84" spans="1:24" ht="15" customHeight="1" x14ac:dyDescent="0.3">
      <c r="A84" s="2">
        <f>Roster!A84</f>
        <v>83</v>
      </c>
      <c r="B84" s="2">
        <f>Roster!C84</f>
        <v>1</v>
      </c>
      <c r="C84" s="2">
        <f>IF(COUNTIF(Roster!$D84:$M84,C$1)&gt;0,$B84,0)</f>
        <v>1</v>
      </c>
      <c r="D84" s="2">
        <f>IF(COUNTIF(Roster!$D84:$M84,D$1)&gt;0,$B84,0)</f>
        <v>1</v>
      </c>
      <c r="E84" s="2">
        <f>IF(COUNTIF(Roster!$D84:$M84,E$1)&gt;0,$B84,0)</f>
        <v>1</v>
      </c>
      <c r="F84" s="2">
        <f>IF(COUNTIF(Roster!$D84:$M84,F$1)&gt;0,$B84,0)</f>
        <v>1</v>
      </c>
      <c r="G84" s="2">
        <f>IF(COUNTIF(Roster!$D84:$M84,G$1)&gt;0,$B84,0)</f>
        <v>0</v>
      </c>
      <c r="H84" s="2">
        <f>IF(COUNTIF(Roster!$D84:$M84,H$1)&gt;0,$B84,0)</f>
        <v>1</v>
      </c>
      <c r="I84" s="2">
        <f>IF(COUNTIF(Roster!$D84:$M84,I$1)&gt;0,$B84,0)</f>
        <v>1</v>
      </c>
      <c r="J84" s="2">
        <f>IF(COUNTIF(Roster!$D84:$M84,J$1)&gt;0,$B84,0)</f>
        <v>0</v>
      </c>
      <c r="K84" s="2">
        <f>IF(COUNTIF(Roster!$D84:$M84,K$1)&gt;0,$B84,0)</f>
        <v>0</v>
      </c>
      <c r="L84" s="2">
        <f>IF(COUNTIF(Roster!$D84:$M84,L$1)&gt;0,$B84,0)</f>
        <v>0</v>
      </c>
      <c r="M84" s="2">
        <f>IF(COUNTIF(Roster!$D84:$M84,M$1)&gt;0,$B84,0)</f>
        <v>0</v>
      </c>
      <c r="N84" s="2">
        <f>IF(COUNTIF(Roster!$D84:$M84,N$1)&gt;0,$B84,0)</f>
        <v>0</v>
      </c>
      <c r="O84" s="2">
        <f>IF(COUNTIF(Roster!$D84:$M84,O$1)&gt;0,$B84,0)</f>
        <v>0</v>
      </c>
      <c r="P84" s="2">
        <f>IF(COUNTIF(Roster!$D84:$M84,P$1)&gt;0,$B84,0)</f>
        <v>1</v>
      </c>
      <c r="Q84" s="2">
        <f>IF(COUNTIF(Roster!$D84:$M84,Q$1)&gt;0,$B84,0)</f>
        <v>0</v>
      </c>
      <c r="R84" s="2">
        <f>IF(COUNTIF(Roster!$D84:$M84,R$1)&gt;0,$B84,0)</f>
        <v>0</v>
      </c>
      <c r="S84" s="2">
        <f>IF(COUNTIF(Roster!$D84:$M84,S$1)&gt;0,$B84,0)</f>
        <v>0</v>
      </c>
      <c r="T84" s="2">
        <f>IF(COUNTIF(Roster!$D84:$M84,T$1)&gt;0,$B84,0)</f>
        <v>0</v>
      </c>
      <c r="U84" s="2">
        <f>IF(COUNTIF(Roster!$D84:$M84,U$1)&gt;0,$B84,0)</f>
        <v>1</v>
      </c>
      <c r="V84" s="2">
        <f>IF(COUNTIF(Roster!$D84:$M84,V$1)&gt;0,$B84,0)</f>
        <v>0</v>
      </c>
      <c r="W84" s="2">
        <f>IF(COUNTIF(Roster!$D84:$M84,W$1)&gt;0,$B84,0)</f>
        <v>0</v>
      </c>
      <c r="X84" s="2">
        <f t="shared" si="1"/>
        <v>4</v>
      </c>
    </row>
    <row r="85" spans="1:24" ht="15" customHeight="1" x14ac:dyDescent="0.3">
      <c r="A85" s="2">
        <f>Roster!A85</f>
        <v>84</v>
      </c>
      <c r="B85" s="2">
        <f>Roster!C85</f>
        <v>1</v>
      </c>
      <c r="C85" s="2">
        <f>IF(COUNTIF(Roster!$D85:$M85,C$1)&gt;0,$B85,0)</f>
        <v>1</v>
      </c>
      <c r="D85" s="2">
        <f>IF(COUNTIF(Roster!$D85:$M85,D$1)&gt;0,$B85,0)</f>
        <v>1</v>
      </c>
      <c r="E85" s="2">
        <f>IF(COUNTIF(Roster!$D85:$M85,E$1)&gt;0,$B85,0)</f>
        <v>1</v>
      </c>
      <c r="F85" s="2">
        <f>IF(COUNTIF(Roster!$D85:$M85,F$1)&gt;0,$B85,0)</f>
        <v>0</v>
      </c>
      <c r="G85" s="2">
        <f>IF(COUNTIF(Roster!$D85:$M85,G$1)&gt;0,$B85,0)</f>
        <v>1</v>
      </c>
      <c r="H85" s="2">
        <f>IF(COUNTIF(Roster!$D85:$M85,H$1)&gt;0,$B85,0)</f>
        <v>0</v>
      </c>
      <c r="I85" s="2">
        <f>IF(COUNTIF(Roster!$D85:$M85,I$1)&gt;0,$B85,0)</f>
        <v>0</v>
      </c>
      <c r="J85" s="2">
        <f>IF(COUNTIF(Roster!$D85:$M85,J$1)&gt;0,$B85,0)</f>
        <v>0</v>
      </c>
      <c r="K85" s="2">
        <f>IF(COUNTIF(Roster!$D85:$M85,K$1)&gt;0,$B85,0)</f>
        <v>0</v>
      </c>
      <c r="L85" s="2">
        <f>IF(COUNTIF(Roster!$D85:$M85,L$1)&gt;0,$B85,0)</f>
        <v>0</v>
      </c>
      <c r="M85" s="2">
        <f>IF(COUNTIF(Roster!$D85:$M85,M$1)&gt;0,$B85,0)</f>
        <v>0</v>
      </c>
      <c r="N85" s="2">
        <f>IF(COUNTIF(Roster!$D85:$M85,N$1)&gt;0,$B85,0)</f>
        <v>0</v>
      </c>
      <c r="O85" s="2">
        <f>IF(COUNTIF(Roster!$D85:$M85,O$1)&gt;0,$B85,0)</f>
        <v>1</v>
      </c>
      <c r="P85" s="2">
        <f>IF(COUNTIF(Roster!$D85:$M85,P$1)&gt;0,$B85,0)</f>
        <v>1</v>
      </c>
      <c r="Q85" s="2">
        <f>IF(COUNTIF(Roster!$D85:$M85,Q$1)&gt;0,$B85,0)</f>
        <v>0</v>
      </c>
      <c r="R85" s="2">
        <f>IF(COUNTIF(Roster!$D85:$M85,R$1)&gt;0,$B85,0)</f>
        <v>0</v>
      </c>
      <c r="S85" s="2">
        <f>IF(COUNTIF(Roster!$D85:$M85,S$1)&gt;0,$B85,0)</f>
        <v>1</v>
      </c>
      <c r="T85" s="2">
        <f>IF(COUNTIF(Roster!$D85:$M85,T$1)&gt;0,$B85,0)</f>
        <v>0</v>
      </c>
      <c r="U85" s="2">
        <f>IF(COUNTIF(Roster!$D85:$M85,U$1)&gt;0,$B85,0)</f>
        <v>0</v>
      </c>
      <c r="V85" s="2">
        <f>IF(COUNTIF(Roster!$D85:$M85,V$1)&gt;0,$B85,0)</f>
        <v>1</v>
      </c>
      <c r="W85" s="2">
        <f>IF(COUNTIF(Roster!$D85:$M85,W$1)&gt;0,$B85,0)</f>
        <v>1</v>
      </c>
      <c r="X85" s="2">
        <f t="shared" si="1"/>
        <v>5</v>
      </c>
    </row>
    <row r="86" spans="1:24" ht="15" customHeight="1" x14ac:dyDescent="0.3">
      <c r="A86" s="2">
        <f>Roster!A86</f>
        <v>85</v>
      </c>
      <c r="B86" s="2">
        <f>Roster!C86</f>
        <v>1</v>
      </c>
      <c r="C86" s="2">
        <f>IF(COUNTIF(Roster!$D86:$M86,C$1)&gt;0,$B86,0)</f>
        <v>1</v>
      </c>
      <c r="D86" s="2">
        <f>IF(COUNTIF(Roster!$D86:$M86,D$1)&gt;0,$B86,0)</f>
        <v>1</v>
      </c>
      <c r="E86" s="2">
        <f>IF(COUNTIF(Roster!$D86:$M86,E$1)&gt;0,$B86,0)</f>
        <v>1</v>
      </c>
      <c r="F86" s="2">
        <f>IF(COUNTIF(Roster!$D86:$M86,F$1)&gt;0,$B86,0)</f>
        <v>1</v>
      </c>
      <c r="G86" s="2">
        <f>IF(COUNTIF(Roster!$D86:$M86,G$1)&gt;0,$B86,0)</f>
        <v>0</v>
      </c>
      <c r="H86" s="2">
        <f>IF(COUNTIF(Roster!$D86:$M86,H$1)&gt;0,$B86,0)</f>
        <v>0</v>
      </c>
      <c r="I86" s="2">
        <f>IF(COUNTIF(Roster!$D86:$M86,I$1)&gt;0,$B86,0)</f>
        <v>1</v>
      </c>
      <c r="J86" s="2">
        <f>IF(COUNTIF(Roster!$D86:$M86,J$1)&gt;0,$B86,0)</f>
        <v>0</v>
      </c>
      <c r="K86" s="2">
        <f>IF(COUNTIF(Roster!$D86:$M86,K$1)&gt;0,$B86,0)</f>
        <v>0</v>
      </c>
      <c r="L86" s="2">
        <f>IF(COUNTIF(Roster!$D86:$M86,L$1)&gt;0,$B86,0)</f>
        <v>0</v>
      </c>
      <c r="M86" s="2">
        <f>IF(COUNTIF(Roster!$D86:$M86,M$1)&gt;0,$B86,0)</f>
        <v>0</v>
      </c>
      <c r="N86" s="2">
        <f>IF(COUNTIF(Roster!$D86:$M86,N$1)&gt;0,$B86,0)</f>
        <v>0</v>
      </c>
      <c r="O86" s="2">
        <f>IF(COUNTIF(Roster!$D86:$M86,O$1)&gt;0,$B86,0)</f>
        <v>0</v>
      </c>
      <c r="P86" s="2">
        <f>IF(COUNTIF(Roster!$D86:$M86,P$1)&gt;0,$B86,0)</f>
        <v>0</v>
      </c>
      <c r="Q86" s="2">
        <f>IF(COUNTIF(Roster!$D86:$M86,Q$1)&gt;0,$B86,0)</f>
        <v>0</v>
      </c>
      <c r="R86" s="2">
        <f>IF(COUNTIF(Roster!$D86:$M86,R$1)&gt;0,$B86,0)</f>
        <v>0</v>
      </c>
      <c r="S86" s="2">
        <f>IF(COUNTIF(Roster!$D86:$M86,S$1)&gt;0,$B86,0)</f>
        <v>1</v>
      </c>
      <c r="T86" s="2">
        <f>IF(COUNTIF(Roster!$D86:$M86,T$1)&gt;0,$B86,0)</f>
        <v>0</v>
      </c>
      <c r="U86" s="2">
        <f>IF(COUNTIF(Roster!$D86:$M86,U$1)&gt;0,$B86,0)</f>
        <v>1</v>
      </c>
      <c r="V86" s="2">
        <f>IF(COUNTIF(Roster!$D86:$M86,V$1)&gt;0,$B86,0)</f>
        <v>1</v>
      </c>
      <c r="W86" s="2">
        <f>IF(COUNTIF(Roster!$D86:$M86,W$1)&gt;0,$B86,0)</f>
        <v>0</v>
      </c>
      <c r="X86" s="2">
        <f t="shared" si="1"/>
        <v>4</v>
      </c>
    </row>
    <row r="87" spans="1:24" ht="15" customHeight="1" x14ac:dyDescent="0.3">
      <c r="A87" s="2">
        <f>Roster!A87</f>
        <v>86</v>
      </c>
      <c r="B87" s="2">
        <f>Roster!C87</f>
        <v>1</v>
      </c>
      <c r="C87" s="2">
        <f>IF(COUNTIF(Roster!$D87:$M87,C$1)&gt;0,$B87,0)</f>
        <v>1</v>
      </c>
      <c r="D87" s="2">
        <f>IF(COUNTIF(Roster!$D87:$M87,D$1)&gt;0,$B87,0)</f>
        <v>1</v>
      </c>
      <c r="E87" s="2">
        <f>IF(COUNTIF(Roster!$D87:$M87,E$1)&gt;0,$B87,0)</f>
        <v>1</v>
      </c>
      <c r="F87" s="2">
        <f>IF(COUNTIF(Roster!$D87:$M87,F$1)&gt;0,$B87,0)</f>
        <v>1</v>
      </c>
      <c r="G87" s="2">
        <f>IF(COUNTIF(Roster!$D87:$M87,G$1)&gt;0,$B87,0)</f>
        <v>0</v>
      </c>
      <c r="H87" s="2">
        <f>IF(COUNTIF(Roster!$D87:$M87,H$1)&gt;0,$B87,0)</f>
        <v>1</v>
      </c>
      <c r="I87" s="2">
        <f>IF(COUNTIF(Roster!$D87:$M87,I$1)&gt;0,$B87,0)</f>
        <v>0</v>
      </c>
      <c r="J87" s="2">
        <f>IF(COUNTIF(Roster!$D87:$M87,J$1)&gt;0,$B87,0)</f>
        <v>0</v>
      </c>
      <c r="K87" s="2">
        <f>IF(COUNTIF(Roster!$D87:$M87,K$1)&gt;0,$B87,0)</f>
        <v>0</v>
      </c>
      <c r="L87" s="2">
        <f>IF(COUNTIF(Roster!$D87:$M87,L$1)&gt;0,$B87,0)</f>
        <v>1</v>
      </c>
      <c r="M87" s="2">
        <f>IF(COUNTIF(Roster!$D87:$M87,M$1)&gt;0,$B87,0)</f>
        <v>0</v>
      </c>
      <c r="N87" s="2">
        <f>IF(COUNTIF(Roster!$D87:$M87,N$1)&gt;0,$B87,0)</f>
        <v>0</v>
      </c>
      <c r="O87" s="2">
        <f>IF(COUNTIF(Roster!$D87:$M87,O$1)&gt;0,$B87,0)</f>
        <v>0</v>
      </c>
      <c r="P87" s="2">
        <f>IF(COUNTIF(Roster!$D87:$M87,P$1)&gt;0,$B87,0)</f>
        <v>0</v>
      </c>
      <c r="Q87" s="2">
        <f>IF(COUNTIF(Roster!$D87:$M87,Q$1)&gt;0,$B87,0)</f>
        <v>0</v>
      </c>
      <c r="R87" s="2">
        <f>IF(COUNTIF(Roster!$D87:$M87,R$1)&gt;0,$B87,0)</f>
        <v>0</v>
      </c>
      <c r="S87" s="2">
        <f>IF(COUNTIF(Roster!$D87:$M87,S$1)&gt;0,$B87,0)</f>
        <v>1</v>
      </c>
      <c r="T87" s="2">
        <f>IF(COUNTIF(Roster!$D87:$M87,T$1)&gt;0,$B87,0)</f>
        <v>0</v>
      </c>
      <c r="U87" s="2">
        <f>IF(COUNTIF(Roster!$D87:$M87,U$1)&gt;0,$B87,0)</f>
        <v>1</v>
      </c>
      <c r="V87" s="2">
        <f>IF(COUNTIF(Roster!$D87:$M87,V$1)&gt;0,$B87,0)</f>
        <v>0</v>
      </c>
      <c r="W87" s="2">
        <f>IF(COUNTIF(Roster!$D87:$M87,W$1)&gt;0,$B87,0)</f>
        <v>1</v>
      </c>
      <c r="X87" s="2">
        <f t="shared" si="1"/>
        <v>5</v>
      </c>
    </row>
    <row r="88" spans="1:24" ht="15" customHeight="1" x14ac:dyDescent="0.3">
      <c r="A88" s="2">
        <f>Roster!A88</f>
        <v>87</v>
      </c>
      <c r="B88" s="2">
        <f>Roster!C88</f>
        <v>1</v>
      </c>
      <c r="C88" s="2">
        <f>IF(COUNTIF(Roster!$D88:$M88,C$1)&gt;0,$B88,0)</f>
        <v>1</v>
      </c>
      <c r="D88" s="2">
        <f>IF(COUNTIF(Roster!$D88:$M88,D$1)&gt;0,$B88,0)</f>
        <v>1</v>
      </c>
      <c r="E88" s="2">
        <f>IF(COUNTIF(Roster!$D88:$M88,E$1)&gt;0,$B88,0)</f>
        <v>1</v>
      </c>
      <c r="F88" s="2">
        <f>IF(COUNTIF(Roster!$D88:$M88,F$1)&gt;0,$B88,0)</f>
        <v>1</v>
      </c>
      <c r="G88" s="2">
        <f>IF(COUNTIF(Roster!$D88:$M88,G$1)&gt;0,$B88,0)</f>
        <v>0</v>
      </c>
      <c r="H88" s="2">
        <f>IF(COUNTIF(Roster!$D88:$M88,H$1)&gt;0,$B88,0)</f>
        <v>0</v>
      </c>
      <c r="I88" s="2">
        <f>IF(COUNTIF(Roster!$D88:$M88,I$1)&gt;0,$B88,0)</f>
        <v>1</v>
      </c>
      <c r="J88" s="2">
        <f>IF(COUNTIF(Roster!$D88:$M88,J$1)&gt;0,$B88,0)</f>
        <v>0</v>
      </c>
      <c r="K88" s="2">
        <f>IF(COUNTIF(Roster!$D88:$M88,K$1)&gt;0,$B88,0)</f>
        <v>0</v>
      </c>
      <c r="L88" s="2">
        <f>IF(COUNTIF(Roster!$D88:$M88,L$1)&gt;0,$B88,0)</f>
        <v>0</v>
      </c>
      <c r="M88" s="2">
        <f>IF(COUNTIF(Roster!$D88:$M88,M$1)&gt;0,$B88,0)</f>
        <v>0</v>
      </c>
      <c r="N88" s="2">
        <f>IF(COUNTIF(Roster!$D88:$M88,N$1)&gt;0,$B88,0)</f>
        <v>1</v>
      </c>
      <c r="O88" s="2">
        <f>IF(COUNTIF(Roster!$D88:$M88,O$1)&gt;0,$B88,0)</f>
        <v>0</v>
      </c>
      <c r="P88" s="2">
        <f>IF(COUNTIF(Roster!$D88:$M88,P$1)&gt;0,$B88,0)</f>
        <v>0</v>
      </c>
      <c r="Q88" s="2">
        <f>IF(COUNTIF(Roster!$D88:$M88,Q$1)&gt;0,$B88,0)</f>
        <v>0</v>
      </c>
      <c r="R88" s="2">
        <f>IF(COUNTIF(Roster!$D88:$M88,R$1)&gt;0,$B88,0)</f>
        <v>0</v>
      </c>
      <c r="S88" s="2">
        <f>IF(COUNTIF(Roster!$D88:$M88,S$1)&gt;0,$B88,0)</f>
        <v>1</v>
      </c>
      <c r="T88" s="2">
        <f>IF(COUNTIF(Roster!$D88:$M88,T$1)&gt;0,$B88,0)</f>
        <v>0</v>
      </c>
      <c r="U88" s="2">
        <f>IF(COUNTIF(Roster!$D88:$M88,U$1)&gt;0,$B88,0)</f>
        <v>1</v>
      </c>
      <c r="V88" s="2">
        <f>IF(COUNTIF(Roster!$D88:$M88,V$1)&gt;0,$B88,0)</f>
        <v>0</v>
      </c>
      <c r="W88" s="2">
        <f>IF(COUNTIF(Roster!$D88:$M88,W$1)&gt;0,$B88,0)</f>
        <v>0</v>
      </c>
      <c r="X88" s="2">
        <f t="shared" si="1"/>
        <v>4</v>
      </c>
    </row>
    <row r="89" spans="1:24" ht="15" customHeight="1" x14ac:dyDescent="0.3">
      <c r="A89" s="2">
        <f>Roster!A89</f>
        <v>88</v>
      </c>
      <c r="B89" s="2">
        <f>Roster!C89</f>
        <v>1</v>
      </c>
      <c r="C89" s="2">
        <f>IF(COUNTIF(Roster!$D89:$M89,C$1)&gt;0,$B89,0)</f>
        <v>1</v>
      </c>
      <c r="D89" s="2">
        <f>IF(COUNTIF(Roster!$D89:$M89,D$1)&gt;0,$B89,0)</f>
        <v>1</v>
      </c>
      <c r="E89" s="2">
        <f>IF(COUNTIF(Roster!$D89:$M89,E$1)&gt;0,$B89,0)</f>
        <v>1</v>
      </c>
      <c r="F89" s="2">
        <f>IF(COUNTIF(Roster!$D89:$M89,F$1)&gt;0,$B89,0)</f>
        <v>0</v>
      </c>
      <c r="G89" s="2">
        <f>IF(COUNTIF(Roster!$D89:$M89,G$1)&gt;0,$B89,0)</f>
        <v>1</v>
      </c>
      <c r="H89" s="2">
        <f>IF(COUNTIF(Roster!$D89:$M89,H$1)&gt;0,$B89,0)</f>
        <v>0</v>
      </c>
      <c r="I89" s="2">
        <f>IF(COUNTIF(Roster!$D89:$M89,I$1)&gt;0,$B89,0)</f>
        <v>1</v>
      </c>
      <c r="J89" s="2">
        <f>IF(COUNTIF(Roster!$D89:$M89,J$1)&gt;0,$B89,0)</f>
        <v>1</v>
      </c>
      <c r="K89" s="2">
        <f>IF(COUNTIF(Roster!$D89:$M89,K$1)&gt;0,$B89,0)</f>
        <v>1</v>
      </c>
      <c r="L89" s="2">
        <f>IF(COUNTIF(Roster!$D89:$M89,L$1)&gt;0,$B89,0)</f>
        <v>0</v>
      </c>
      <c r="M89" s="2">
        <f>IF(COUNTIF(Roster!$D89:$M89,M$1)&gt;0,$B89,0)</f>
        <v>0</v>
      </c>
      <c r="N89" s="2">
        <f>IF(COUNTIF(Roster!$D89:$M89,N$1)&gt;0,$B89,0)</f>
        <v>0</v>
      </c>
      <c r="O89" s="2">
        <f>IF(COUNTIF(Roster!$D89:$M89,O$1)&gt;0,$B89,0)</f>
        <v>0</v>
      </c>
      <c r="P89" s="2">
        <f>IF(COUNTIF(Roster!$D89:$M89,P$1)&gt;0,$B89,0)</f>
        <v>1</v>
      </c>
      <c r="Q89" s="2">
        <f>IF(COUNTIF(Roster!$D89:$M89,Q$1)&gt;0,$B89,0)</f>
        <v>0</v>
      </c>
      <c r="R89" s="2">
        <f>IF(COUNTIF(Roster!$D89:$M89,R$1)&gt;0,$B89,0)</f>
        <v>0</v>
      </c>
      <c r="S89" s="2">
        <f>IF(COUNTIF(Roster!$D89:$M89,S$1)&gt;0,$B89,0)</f>
        <v>0</v>
      </c>
      <c r="T89" s="2">
        <f>IF(COUNTIF(Roster!$D89:$M89,T$1)&gt;0,$B89,0)</f>
        <v>0</v>
      </c>
      <c r="U89" s="2">
        <f>IF(COUNTIF(Roster!$D89:$M89,U$1)&gt;0,$B89,0)</f>
        <v>0</v>
      </c>
      <c r="V89" s="2">
        <f>IF(COUNTIF(Roster!$D89:$M89,V$1)&gt;0,$B89,0)</f>
        <v>0</v>
      </c>
      <c r="W89" s="2">
        <f>IF(COUNTIF(Roster!$D89:$M89,W$1)&gt;0,$B89,0)</f>
        <v>0</v>
      </c>
      <c r="X89" s="2">
        <f t="shared" si="1"/>
        <v>4</v>
      </c>
    </row>
    <row r="90" spans="1:24" ht="15" customHeight="1" x14ac:dyDescent="0.3">
      <c r="A90" s="2">
        <f>Roster!A90</f>
        <v>89</v>
      </c>
      <c r="B90" s="2">
        <f>Roster!C90</f>
        <v>1</v>
      </c>
      <c r="C90" s="2">
        <f>IF(COUNTIF(Roster!$D90:$M90,C$1)&gt;0,$B90,0)</f>
        <v>1</v>
      </c>
      <c r="D90" s="2">
        <f>IF(COUNTIF(Roster!$D90:$M90,D$1)&gt;0,$B90,0)</f>
        <v>1</v>
      </c>
      <c r="E90" s="2">
        <f>IF(COUNTIF(Roster!$D90:$M90,E$1)&gt;0,$B90,0)</f>
        <v>1</v>
      </c>
      <c r="F90" s="2">
        <f>IF(COUNTIF(Roster!$D90:$M90,F$1)&gt;0,$B90,0)</f>
        <v>1</v>
      </c>
      <c r="G90" s="2">
        <f>IF(COUNTIF(Roster!$D90:$M90,G$1)&gt;0,$B90,0)</f>
        <v>1</v>
      </c>
      <c r="H90" s="2">
        <f>IF(COUNTIF(Roster!$D90:$M90,H$1)&gt;0,$B90,0)</f>
        <v>0</v>
      </c>
      <c r="I90" s="2">
        <f>IF(COUNTIF(Roster!$D90:$M90,I$1)&gt;0,$B90,0)</f>
        <v>1</v>
      </c>
      <c r="J90" s="2">
        <f>IF(COUNTIF(Roster!$D90:$M90,J$1)&gt;0,$B90,0)</f>
        <v>1</v>
      </c>
      <c r="K90" s="2">
        <f>IF(COUNTIF(Roster!$D90:$M90,K$1)&gt;0,$B90,0)</f>
        <v>0</v>
      </c>
      <c r="L90" s="2">
        <f>IF(COUNTIF(Roster!$D90:$M90,L$1)&gt;0,$B90,0)</f>
        <v>0</v>
      </c>
      <c r="M90" s="2">
        <f>IF(COUNTIF(Roster!$D90:$M90,M$1)&gt;0,$B90,0)</f>
        <v>0</v>
      </c>
      <c r="N90" s="2">
        <f>IF(COUNTIF(Roster!$D90:$M90,N$1)&gt;0,$B90,0)</f>
        <v>1</v>
      </c>
      <c r="O90" s="2">
        <f>IF(COUNTIF(Roster!$D90:$M90,O$1)&gt;0,$B90,0)</f>
        <v>0</v>
      </c>
      <c r="P90" s="2">
        <f>IF(COUNTIF(Roster!$D90:$M90,P$1)&gt;0,$B90,0)</f>
        <v>0</v>
      </c>
      <c r="Q90" s="2">
        <f>IF(COUNTIF(Roster!$D90:$M90,Q$1)&gt;0,$B90,0)</f>
        <v>1</v>
      </c>
      <c r="R90" s="2">
        <f>IF(COUNTIF(Roster!$D90:$M90,R$1)&gt;0,$B90,0)</f>
        <v>0</v>
      </c>
      <c r="S90" s="2">
        <f>IF(COUNTIF(Roster!$D90:$M90,S$1)&gt;0,$B90,0)</f>
        <v>0</v>
      </c>
      <c r="T90" s="2">
        <f>IF(COUNTIF(Roster!$D90:$M90,T$1)&gt;0,$B90,0)</f>
        <v>0</v>
      </c>
      <c r="U90" s="2">
        <f>IF(COUNTIF(Roster!$D90:$M90,U$1)&gt;0,$B90,0)</f>
        <v>0</v>
      </c>
      <c r="V90" s="2">
        <f>IF(COUNTIF(Roster!$D90:$M90,V$1)&gt;0,$B90,0)</f>
        <v>0</v>
      </c>
      <c r="W90" s="2">
        <f>IF(COUNTIF(Roster!$D90:$M90,W$1)&gt;0,$B90,0)</f>
        <v>0</v>
      </c>
      <c r="X90" s="2">
        <f t="shared" si="1"/>
        <v>4</v>
      </c>
    </row>
    <row r="91" spans="1:24" ht="15" customHeight="1" x14ac:dyDescent="0.3">
      <c r="A91" s="2">
        <f>Roster!A91</f>
        <v>90</v>
      </c>
      <c r="B91" s="2">
        <f>Roster!C91</f>
        <v>1</v>
      </c>
      <c r="C91" s="2">
        <f>IF(COUNTIF(Roster!$D91:$M91,C$1)&gt;0,$B91,0)</f>
        <v>1</v>
      </c>
      <c r="D91" s="2">
        <f>IF(COUNTIF(Roster!$D91:$M91,D$1)&gt;0,$B91,0)</f>
        <v>1</v>
      </c>
      <c r="E91" s="2">
        <f>IF(COUNTIF(Roster!$D91:$M91,E$1)&gt;0,$B91,0)</f>
        <v>1</v>
      </c>
      <c r="F91" s="2">
        <f>IF(COUNTIF(Roster!$D91:$M91,F$1)&gt;0,$B91,0)</f>
        <v>1</v>
      </c>
      <c r="G91" s="2">
        <f>IF(COUNTIF(Roster!$D91:$M91,G$1)&gt;0,$B91,0)</f>
        <v>0</v>
      </c>
      <c r="H91" s="2">
        <f>IF(COUNTIF(Roster!$D91:$M91,H$1)&gt;0,$B91,0)</f>
        <v>1</v>
      </c>
      <c r="I91" s="2">
        <f>IF(COUNTIF(Roster!$D91:$M91,I$1)&gt;0,$B91,0)</f>
        <v>1</v>
      </c>
      <c r="J91" s="2">
        <f>IF(COUNTIF(Roster!$D91:$M91,J$1)&gt;0,$B91,0)</f>
        <v>1</v>
      </c>
      <c r="K91" s="2">
        <f>IF(COUNTIF(Roster!$D91:$M91,K$1)&gt;0,$B91,0)</f>
        <v>1</v>
      </c>
      <c r="L91" s="2">
        <f>IF(COUNTIF(Roster!$D91:$M91,L$1)&gt;0,$B91,0)</f>
        <v>0</v>
      </c>
      <c r="M91" s="2">
        <f>IF(COUNTIF(Roster!$D91:$M91,M$1)&gt;0,$B91,0)</f>
        <v>0</v>
      </c>
      <c r="N91" s="2">
        <f>IF(COUNTIF(Roster!$D91:$M91,N$1)&gt;0,$B91,0)</f>
        <v>0</v>
      </c>
      <c r="O91" s="2">
        <f>IF(COUNTIF(Roster!$D91:$M91,O$1)&gt;0,$B91,0)</f>
        <v>0</v>
      </c>
      <c r="P91" s="2">
        <f>IF(COUNTIF(Roster!$D91:$M91,P$1)&gt;0,$B91,0)</f>
        <v>0</v>
      </c>
      <c r="Q91" s="2">
        <f>IF(COUNTIF(Roster!$D91:$M91,Q$1)&gt;0,$B91,0)</f>
        <v>0</v>
      </c>
      <c r="R91" s="2">
        <f>IF(COUNTIF(Roster!$D91:$M91,R$1)&gt;0,$B91,0)</f>
        <v>0</v>
      </c>
      <c r="S91" s="2">
        <f>IF(COUNTIF(Roster!$D91:$M91,S$1)&gt;0,$B91,0)</f>
        <v>0</v>
      </c>
      <c r="T91" s="2">
        <f>IF(COUNTIF(Roster!$D91:$M91,T$1)&gt;0,$B91,0)</f>
        <v>0</v>
      </c>
      <c r="U91" s="2">
        <f>IF(COUNTIF(Roster!$D91:$M91,U$1)&gt;0,$B91,0)</f>
        <v>0</v>
      </c>
      <c r="V91" s="2">
        <f>IF(COUNTIF(Roster!$D91:$M91,V$1)&gt;0,$B91,0)</f>
        <v>0</v>
      </c>
      <c r="W91" s="2">
        <f>IF(COUNTIF(Roster!$D91:$M91,W$1)&gt;0,$B91,0)</f>
        <v>0</v>
      </c>
      <c r="X91" s="2">
        <f t="shared" si="1"/>
        <v>4</v>
      </c>
    </row>
    <row r="92" spans="1:24" ht="15" customHeight="1" x14ac:dyDescent="0.3">
      <c r="A92" s="2">
        <f>Roster!A92</f>
        <v>91</v>
      </c>
      <c r="B92" s="2">
        <f>Roster!C92</f>
        <v>1</v>
      </c>
      <c r="C92" s="2">
        <f>IF(COUNTIF(Roster!$D92:$M92,C$1)&gt;0,$B92,0)</f>
        <v>1</v>
      </c>
      <c r="D92" s="2">
        <f>IF(COUNTIF(Roster!$D92:$M92,D$1)&gt;0,$B92,0)</f>
        <v>1</v>
      </c>
      <c r="E92" s="2">
        <f>IF(COUNTIF(Roster!$D92:$M92,E$1)&gt;0,$B92,0)</f>
        <v>1</v>
      </c>
      <c r="F92" s="2">
        <f>IF(COUNTIF(Roster!$D92:$M92,F$1)&gt;0,$B92,0)</f>
        <v>1</v>
      </c>
      <c r="G92" s="2">
        <f>IF(COUNTIF(Roster!$D92:$M92,G$1)&gt;0,$B92,0)</f>
        <v>0</v>
      </c>
      <c r="H92" s="2">
        <f>IF(COUNTIF(Roster!$D92:$M92,H$1)&gt;0,$B92,0)</f>
        <v>1</v>
      </c>
      <c r="I92" s="2">
        <f>IF(COUNTIF(Roster!$D92:$M92,I$1)&gt;0,$B92,0)</f>
        <v>1</v>
      </c>
      <c r="J92" s="2">
        <f>IF(COUNTIF(Roster!$D92:$M92,J$1)&gt;0,$B92,0)</f>
        <v>0</v>
      </c>
      <c r="K92" s="2">
        <f>IF(COUNTIF(Roster!$D92:$M92,K$1)&gt;0,$B92,0)</f>
        <v>0</v>
      </c>
      <c r="L92" s="2">
        <f>IF(COUNTIF(Roster!$D92:$M92,L$1)&gt;0,$B92,0)</f>
        <v>0</v>
      </c>
      <c r="M92" s="2">
        <f>IF(COUNTIF(Roster!$D92:$M92,M$1)&gt;0,$B92,0)</f>
        <v>0</v>
      </c>
      <c r="N92" s="2">
        <f>IF(COUNTIF(Roster!$D92:$M92,N$1)&gt;0,$B92,0)</f>
        <v>0</v>
      </c>
      <c r="O92" s="2">
        <f>IF(COUNTIF(Roster!$D92:$M92,O$1)&gt;0,$B92,0)</f>
        <v>0</v>
      </c>
      <c r="P92" s="2">
        <f>IF(COUNTIF(Roster!$D92:$M92,P$1)&gt;0,$B92,0)</f>
        <v>0</v>
      </c>
      <c r="Q92" s="2">
        <f>IF(COUNTIF(Roster!$D92:$M92,Q$1)&gt;0,$B92,0)</f>
        <v>0</v>
      </c>
      <c r="R92" s="2">
        <f>IF(COUNTIF(Roster!$D92:$M92,R$1)&gt;0,$B92,0)</f>
        <v>0</v>
      </c>
      <c r="S92" s="2">
        <f>IF(COUNTIF(Roster!$D92:$M92,S$1)&gt;0,$B92,0)</f>
        <v>0</v>
      </c>
      <c r="T92" s="2">
        <f>IF(COUNTIF(Roster!$D92:$M92,T$1)&gt;0,$B92,0)</f>
        <v>1</v>
      </c>
      <c r="U92" s="2">
        <f>IF(COUNTIF(Roster!$D92:$M92,U$1)&gt;0,$B92,0)</f>
        <v>1</v>
      </c>
      <c r="V92" s="2">
        <f>IF(COUNTIF(Roster!$D92:$M92,V$1)&gt;0,$B92,0)</f>
        <v>0</v>
      </c>
      <c r="W92" s="2">
        <f>IF(COUNTIF(Roster!$D92:$M92,W$1)&gt;0,$B92,0)</f>
        <v>0</v>
      </c>
      <c r="X92" s="2">
        <f t="shared" si="1"/>
        <v>4</v>
      </c>
    </row>
    <row r="93" spans="1:24" ht="15" customHeight="1" x14ac:dyDescent="0.3">
      <c r="A93" s="2">
        <f>Roster!A93</f>
        <v>92</v>
      </c>
      <c r="B93" s="2">
        <f>Roster!C93</f>
        <v>1</v>
      </c>
      <c r="C93" s="2">
        <f>IF(COUNTIF(Roster!$D93:$M93,C$1)&gt;0,$B93,0)</f>
        <v>1</v>
      </c>
      <c r="D93" s="2">
        <f>IF(COUNTIF(Roster!$D93:$M93,D$1)&gt;0,$B93,0)</f>
        <v>1</v>
      </c>
      <c r="E93" s="2">
        <f>IF(COUNTIF(Roster!$D93:$M93,E$1)&gt;0,$B93,0)</f>
        <v>1</v>
      </c>
      <c r="F93" s="2">
        <f>IF(COUNTIF(Roster!$D93:$M93,F$1)&gt;0,$B93,0)</f>
        <v>1</v>
      </c>
      <c r="G93" s="2">
        <f>IF(COUNTIF(Roster!$D93:$M93,G$1)&gt;0,$B93,0)</f>
        <v>0</v>
      </c>
      <c r="H93" s="2">
        <f>IF(COUNTIF(Roster!$D93:$M93,H$1)&gt;0,$B93,0)</f>
        <v>0</v>
      </c>
      <c r="I93" s="2">
        <f>IF(COUNTIF(Roster!$D93:$M93,I$1)&gt;0,$B93,0)</f>
        <v>1</v>
      </c>
      <c r="J93" s="2">
        <f>IF(COUNTIF(Roster!$D93:$M93,J$1)&gt;0,$B93,0)</f>
        <v>1</v>
      </c>
      <c r="K93" s="2">
        <f>IF(COUNTIF(Roster!$D93:$M93,K$1)&gt;0,$B93,0)</f>
        <v>0</v>
      </c>
      <c r="L93" s="2">
        <f>IF(COUNTIF(Roster!$D93:$M93,L$1)&gt;0,$B93,0)</f>
        <v>1</v>
      </c>
      <c r="M93" s="2">
        <f>IF(COUNTIF(Roster!$D93:$M93,M$1)&gt;0,$B93,0)</f>
        <v>0</v>
      </c>
      <c r="N93" s="2">
        <f>IF(COUNTIF(Roster!$D93:$M93,N$1)&gt;0,$B93,0)</f>
        <v>0</v>
      </c>
      <c r="O93" s="2">
        <f>IF(COUNTIF(Roster!$D93:$M93,O$1)&gt;0,$B93,0)</f>
        <v>0</v>
      </c>
      <c r="P93" s="2">
        <f>IF(COUNTIF(Roster!$D93:$M93,P$1)&gt;0,$B93,0)</f>
        <v>0</v>
      </c>
      <c r="Q93" s="2">
        <f>IF(COUNTIF(Roster!$D93:$M93,Q$1)&gt;0,$B93,0)</f>
        <v>0</v>
      </c>
      <c r="R93" s="2">
        <f>IF(COUNTIF(Roster!$D93:$M93,R$1)&gt;0,$B93,0)</f>
        <v>0</v>
      </c>
      <c r="S93" s="2">
        <f>IF(COUNTIF(Roster!$D93:$M93,S$1)&gt;0,$B93,0)</f>
        <v>1</v>
      </c>
      <c r="T93" s="2">
        <f>IF(COUNTIF(Roster!$D93:$M93,T$1)&gt;0,$B93,0)</f>
        <v>0</v>
      </c>
      <c r="U93" s="2">
        <f>IF(COUNTIF(Roster!$D93:$M93,U$1)&gt;0,$B93,0)</f>
        <v>1</v>
      </c>
      <c r="V93" s="2">
        <f>IF(COUNTIF(Roster!$D93:$M93,V$1)&gt;0,$B93,0)</f>
        <v>0</v>
      </c>
      <c r="W93" s="2">
        <f>IF(COUNTIF(Roster!$D93:$M93,W$1)&gt;0,$B93,0)</f>
        <v>0</v>
      </c>
      <c r="X93" s="2">
        <f t="shared" si="1"/>
        <v>5</v>
      </c>
    </row>
    <row r="94" spans="1:24" ht="15" customHeight="1" x14ac:dyDescent="0.3">
      <c r="A94" s="2">
        <f>Roster!A94</f>
        <v>93</v>
      </c>
      <c r="B94" s="2">
        <f>Roster!C94</f>
        <v>1</v>
      </c>
      <c r="C94" s="2">
        <f>IF(COUNTIF(Roster!$D94:$M94,C$1)&gt;0,$B94,0)</f>
        <v>1</v>
      </c>
      <c r="D94" s="2">
        <f>IF(COUNTIF(Roster!$D94:$M94,D$1)&gt;0,$B94,0)</f>
        <v>1</v>
      </c>
      <c r="E94" s="2">
        <f>IF(COUNTIF(Roster!$D94:$M94,E$1)&gt;0,$B94,0)</f>
        <v>1</v>
      </c>
      <c r="F94" s="2">
        <f>IF(COUNTIF(Roster!$D94:$M94,F$1)&gt;0,$B94,0)</f>
        <v>1</v>
      </c>
      <c r="G94" s="2">
        <f>IF(COUNTIF(Roster!$D94:$M94,G$1)&gt;0,$B94,0)</f>
        <v>0</v>
      </c>
      <c r="H94" s="2">
        <f>IF(COUNTIF(Roster!$D94:$M94,H$1)&gt;0,$B94,0)</f>
        <v>0</v>
      </c>
      <c r="I94" s="2">
        <f>IF(COUNTIF(Roster!$D94:$M94,I$1)&gt;0,$B94,0)</f>
        <v>1</v>
      </c>
      <c r="J94" s="2">
        <f>IF(COUNTIF(Roster!$D94:$M94,J$1)&gt;0,$B94,0)</f>
        <v>0</v>
      </c>
      <c r="K94" s="2">
        <f>IF(COUNTIF(Roster!$D94:$M94,K$1)&gt;0,$B94,0)</f>
        <v>1</v>
      </c>
      <c r="L94" s="2">
        <f>IF(COUNTIF(Roster!$D94:$M94,L$1)&gt;0,$B94,0)</f>
        <v>0</v>
      </c>
      <c r="M94" s="2">
        <f>IF(COUNTIF(Roster!$D94:$M94,M$1)&gt;0,$B94,0)</f>
        <v>0</v>
      </c>
      <c r="N94" s="2">
        <f>IF(COUNTIF(Roster!$D94:$M94,N$1)&gt;0,$B94,0)</f>
        <v>0</v>
      </c>
      <c r="O94" s="2">
        <f>IF(COUNTIF(Roster!$D94:$M94,O$1)&gt;0,$B94,0)</f>
        <v>0</v>
      </c>
      <c r="P94" s="2">
        <f>IF(COUNTIF(Roster!$D94:$M94,P$1)&gt;0,$B94,0)</f>
        <v>0</v>
      </c>
      <c r="Q94" s="2">
        <f>IF(COUNTIF(Roster!$D94:$M94,Q$1)&gt;0,$B94,0)</f>
        <v>0</v>
      </c>
      <c r="R94" s="2">
        <f>IF(COUNTIF(Roster!$D94:$M94,R$1)&gt;0,$B94,0)</f>
        <v>0</v>
      </c>
      <c r="S94" s="2">
        <f>IF(COUNTIF(Roster!$D94:$M94,S$1)&gt;0,$B94,0)</f>
        <v>1</v>
      </c>
      <c r="T94" s="2">
        <f>IF(COUNTIF(Roster!$D94:$M94,T$1)&gt;0,$B94,0)</f>
        <v>0</v>
      </c>
      <c r="U94" s="2">
        <f>IF(COUNTIF(Roster!$D94:$M94,U$1)&gt;0,$B94,0)</f>
        <v>1</v>
      </c>
      <c r="V94" s="2">
        <f>IF(COUNTIF(Roster!$D94:$M94,V$1)&gt;0,$B94,0)</f>
        <v>0</v>
      </c>
      <c r="W94" s="2">
        <f>IF(COUNTIF(Roster!$D94:$M94,W$1)&gt;0,$B94,0)</f>
        <v>0</v>
      </c>
      <c r="X94" s="2">
        <f t="shared" si="1"/>
        <v>4</v>
      </c>
    </row>
    <row r="95" spans="1:24" ht="15" customHeight="1" x14ac:dyDescent="0.3">
      <c r="A95" s="2">
        <f>Roster!A95</f>
        <v>94</v>
      </c>
      <c r="B95" s="2">
        <f>Roster!C95</f>
        <v>1</v>
      </c>
      <c r="C95" s="2">
        <f>IF(COUNTIF(Roster!$D95:$M95,C$1)&gt;0,$B95,0)</f>
        <v>1</v>
      </c>
      <c r="D95" s="2">
        <f>IF(COUNTIF(Roster!$D95:$M95,D$1)&gt;0,$B95,0)</f>
        <v>1</v>
      </c>
      <c r="E95" s="2">
        <f>IF(COUNTIF(Roster!$D95:$M95,E$1)&gt;0,$B95,0)</f>
        <v>1</v>
      </c>
      <c r="F95" s="2">
        <f>IF(COUNTIF(Roster!$D95:$M95,F$1)&gt;0,$B95,0)</f>
        <v>1</v>
      </c>
      <c r="G95" s="2">
        <f>IF(COUNTIF(Roster!$D95:$M95,G$1)&gt;0,$B95,0)</f>
        <v>0</v>
      </c>
      <c r="H95" s="2">
        <f>IF(COUNTIF(Roster!$D95:$M95,H$1)&gt;0,$B95,0)</f>
        <v>1</v>
      </c>
      <c r="I95" s="2">
        <f>IF(COUNTIF(Roster!$D95:$M95,I$1)&gt;0,$B95,0)</f>
        <v>1</v>
      </c>
      <c r="J95" s="2">
        <f>IF(COUNTIF(Roster!$D95:$M95,J$1)&gt;0,$B95,0)</f>
        <v>0</v>
      </c>
      <c r="K95" s="2">
        <f>IF(COUNTIF(Roster!$D95:$M95,K$1)&gt;0,$B95,0)</f>
        <v>0</v>
      </c>
      <c r="L95" s="2">
        <f>IF(COUNTIF(Roster!$D95:$M95,L$1)&gt;0,$B95,0)</f>
        <v>0</v>
      </c>
      <c r="M95" s="2">
        <f>IF(COUNTIF(Roster!$D95:$M95,M$1)&gt;0,$B95,0)</f>
        <v>0</v>
      </c>
      <c r="N95" s="2">
        <f>IF(COUNTIF(Roster!$D95:$M95,N$1)&gt;0,$B95,0)</f>
        <v>1</v>
      </c>
      <c r="O95" s="2">
        <f>IF(COUNTIF(Roster!$D95:$M95,O$1)&gt;0,$B95,0)</f>
        <v>0</v>
      </c>
      <c r="P95" s="2">
        <f>IF(COUNTIF(Roster!$D95:$M95,P$1)&gt;0,$B95,0)</f>
        <v>0</v>
      </c>
      <c r="Q95" s="2">
        <f>IF(COUNTIF(Roster!$D95:$M95,Q$1)&gt;0,$B95,0)</f>
        <v>0</v>
      </c>
      <c r="R95" s="2">
        <f>IF(COUNTIF(Roster!$D95:$M95,R$1)&gt;0,$B95,0)</f>
        <v>0</v>
      </c>
      <c r="S95" s="2">
        <f>IF(COUNTIF(Roster!$D95:$M95,S$1)&gt;0,$B95,0)</f>
        <v>0</v>
      </c>
      <c r="T95" s="2">
        <f>IF(COUNTIF(Roster!$D95:$M95,T$1)&gt;0,$B95,0)</f>
        <v>0</v>
      </c>
      <c r="U95" s="2">
        <f>IF(COUNTIF(Roster!$D95:$M95,U$1)&gt;0,$B95,0)</f>
        <v>1</v>
      </c>
      <c r="V95" s="2">
        <f>IF(COUNTIF(Roster!$D95:$M95,V$1)&gt;0,$B95,0)</f>
        <v>0</v>
      </c>
      <c r="W95" s="2">
        <f>IF(COUNTIF(Roster!$D95:$M95,W$1)&gt;0,$B95,0)</f>
        <v>0</v>
      </c>
      <c r="X95" s="2">
        <f t="shared" si="1"/>
        <v>4</v>
      </c>
    </row>
    <row r="96" spans="1:24" ht="15" customHeight="1" x14ac:dyDescent="0.3">
      <c r="A96" s="2">
        <f>Roster!A96</f>
        <v>95</v>
      </c>
      <c r="B96" s="2">
        <f>Roster!C96</f>
        <v>1</v>
      </c>
      <c r="C96" s="2">
        <f>IF(COUNTIF(Roster!$D96:$M96,C$1)&gt;0,$B96,0)</f>
        <v>1</v>
      </c>
      <c r="D96" s="2">
        <f>IF(COUNTIF(Roster!$D96:$M96,D$1)&gt;0,$B96,0)</f>
        <v>1</v>
      </c>
      <c r="E96" s="2">
        <f>IF(COUNTIF(Roster!$D96:$M96,E$1)&gt;0,$B96,0)</f>
        <v>1</v>
      </c>
      <c r="F96" s="2">
        <f>IF(COUNTIF(Roster!$D96:$M96,F$1)&gt;0,$B96,0)</f>
        <v>1</v>
      </c>
      <c r="G96" s="2">
        <f>IF(COUNTIF(Roster!$D96:$M96,G$1)&gt;0,$B96,0)</f>
        <v>0</v>
      </c>
      <c r="H96" s="2">
        <f>IF(COUNTIF(Roster!$D96:$M96,H$1)&gt;0,$B96,0)</f>
        <v>0</v>
      </c>
      <c r="I96" s="2">
        <f>IF(COUNTIF(Roster!$D96:$M96,I$1)&gt;0,$B96,0)</f>
        <v>1</v>
      </c>
      <c r="J96" s="2">
        <f>IF(COUNTIF(Roster!$D96:$M96,J$1)&gt;0,$B96,0)</f>
        <v>1</v>
      </c>
      <c r="K96" s="2">
        <f>IF(COUNTIF(Roster!$D96:$M96,K$1)&gt;0,$B96,0)</f>
        <v>0</v>
      </c>
      <c r="L96" s="2">
        <f>IF(COUNTIF(Roster!$D96:$M96,L$1)&gt;0,$B96,0)</f>
        <v>0</v>
      </c>
      <c r="M96" s="2">
        <f>IF(COUNTIF(Roster!$D96:$M96,M$1)&gt;0,$B96,0)</f>
        <v>1</v>
      </c>
      <c r="N96" s="2">
        <f>IF(COUNTIF(Roster!$D96:$M96,N$1)&gt;0,$B96,0)</f>
        <v>0</v>
      </c>
      <c r="O96" s="2">
        <f>IF(COUNTIF(Roster!$D96:$M96,O$1)&gt;0,$B96,0)</f>
        <v>0</v>
      </c>
      <c r="P96" s="2">
        <f>IF(COUNTIF(Roster!$D96:$M96,P$1)&gt;0,$B96,0)</f>
        <v>0</v>
      </c>
      <c r="Q96" s="2">
        <f>IF(COUNTIF(Roster!$D96:$M96,Q$1)&gt;0,$B96,0)</f>
        <v>0</v>
      </c>
      <c r="R96" s="2">
        <f>IF(COUNTIF(Roster!$D96:$M96,R$1)&gt;0,$B96,0)</f>
        <v>0</v>
      </c>
      <c r="S96" s="2">
        <f>IF(COUNTIF(Roster!$D96:$M96,S$1)&gt;0,$B96,0)</f>
        <v>1</v>
      </c>
      <c r="T96" s="2">
        <f>IF(COUNTIF(Roster!$D96:$M96,T$1)&gt;0,$B96,0)</f>
        <v>0</v>
      </c>
      <c r="U96" s="2">
        <f>IF(COUNTIF(Roster!$D96:$M96,U$1)&gt;0,$B96,0)</f>
        <v>1</v>
      </c>
      <c r="V96" s="2">
        <f>IF(COUNTIF(Roster!$D96:$M96,V$1)&gt;0,$B96,0)</f>
        <v>0</v>
      </c>
      <c r="W96" s="2">
        <f>IF(COUNTIF(Roster!$D96:$M96,W$1)&gt;0,$B96,0)</f>
        <v>0</v>
      </c>
      <c r="X96" s="2">
        <f t="shared" si="1"/>
        <v>5</v>
      </c>
    </row>
    <row r="97" spans="1:24" ht="15" customHeight="1" x14ac:dyDescent="0.3">
      <c r="A97" s="2">
        <f>Roster!A97</f>
        <v>96</v>
      </c>
      <c r="B97" s="2">
        <f>Roster!C97</f>
        <v>1</v>
      </c>
      <c r="C97" s="2">
        <f>IF(COUNTIF(Roster!$D97:$M97,C$1)&gt;0,$B97,0)</f>
        <v>1</v>
      </c>
      <c r="D97" s="2">
        <f>IF(COUNTIF(Roster!$D97:$M97,D$1)&gt;0,$B97,0)</f>
        <v>1</v>
      </c>
      <c r="E97" s="2">
        <f>IF(COUNTIF(Roster!$D97:$M97,E$1)&gt;0,$B97,0)</f>
        <v>1</v>
      </c>
      <c r="F97" s="2">
        <f>IF(COUNTIF(Roster!$D97:$M97,F$1)&gt;0,$B97,0)</f>
        <v>0</v>
      </c>
      <c r="G97" s="2">
        <f>IF(COUNTIF(Roster!$D97:$M97,G$1)&gt;0,$B97,0)</f>
        <v>1</v>
      </c>
      <c r="H97" s="2">
        <f>IF(COUNTIF(Roster!$D97:$M97,H$1)&gt;0,$B97,0)</f>
        <v>0</v>
      </c>
      <c r="I97" s="2">
        <f>IF(COUNTIF(Roster!$D97:$M97,I$1)&gt;0,$B97,0)</f>
        <v>0</v>
      </c>
      <c r="J97" s="2">
        <f>IF(COUNTIF(Roster!$D97:$M97,J$1)&gt;0,$B97,0)</f>
        <v>1</v>
      </c>
      <c r="K97" s="2">
        <f>IF(COUNTIF(Roster!$D97:$M97,K$1)&gt;0,$B97,0)</f>
        <v>0</v>
      </c>
      <c r="L97" s="2">
        <f>IF(COUNTIF(Roster!$D97:$M97,L$1)&gt;0,$B97,0)</f>
        <v>0</v>
      </c>
      <c r="M97" s="2">
        <f>IF(COUNTIF(Roster!$D97:$M97,M$1)&gt;0,$B97,0)</f>
        <v>1</v>
      </c>
      <c r="N97" s="2">
        <f>IF(COUNTIF(Roster!$D97:$M97,N$1)&gt;0,$B97,0)</f>
        <v>0</v>
      </c>
      <c r="O97" s="2">
        <f>IF(COUNTIF(Roster!$D97:$M97,O$1)&gt;0,$B97,0)</f>
        <v>0</v>
      </c>
      <c r="P97" s="2">
        <f>IF(COUNTIF(Roster!$D97:$M97,P$1)&gt;0,$B97,0)</f>
        <v>0</v>
      </c>
      <c r="Q97" s="2">
        <f>IF(COUNTIF(Roster!$D97:$M97,Q$1)&gt;0,$B97,0)</f>
        <v>1</v>
      </c>
      <c r="R97" s="2">
        <f>IF(COUNTIF(Roster!$D97:$M97,R$1)&gt;0,$B97,0)</f>
        <v>0</v>
      </c>
      <c r="S97" s="2">
        <f>IF(COUNTIF(Roster!$D97:$M97,S$1)&gt;0,$B97,0)</f>
        <v>1</v>
      </c>
      <c r="T97" s="2">
        <f>IF(COUNTIF(Roster!$D97:$M97,T$1)&gt;0,$B97,0)</f>
        <v>0</v>
      </c>
      <c r="U97" s="2">
        <f>IF(COUNTIF(Roster!$D97:$M97,U$1)&gt;0,$B97,0)</f>
        <v>0</v>
      </c>
      <c r="V97" s="2">
        <f>IF(COUNTIF(Roster!$D97:$M97,V$1)&gt;0,$B97,0)</f>
        <v>0</v>
      </c>
      <c r="W97" s="2">
        <f>IF(COUNTIF(Roster!$D97:$M97,W$1)&gt;0,$B97,0)</f>
        <v>0</v>
      </c>
      <c r="X97" s="2">
        <f t="shared" si="1"/>
        <v>4</v>
      </c>
    </row>
    <row r="98" spans="1:24" ht="15" customHeight="1" x14ac:dyDescent="0.3">
      <c r="A98" s="2">
        <f>Roster!A98</f>
        <v>97</v>
      </c>
      <c r="B98" s="2">
        <f>Roster!C98</f>
        <v>1</v>
      </c>
      <c r="C98" s="2">
        <f>IF(COUNTIF(Roster!$D98:$M98,C$1)&gt;0,$B98,0)</f>
        <v>1</v>
      </c>
      <c r="D98" s="2">
        <f>IF(COUNTIF(Roster!$D98:$M98,D$1)&gt;0,$B98,0)</f>
        <v>1</v>
      </c>
      <c r="E98" s="2">
        <f>IF(COUNTIF(Roster!$D98:$M98,E$1)&gt;0,$B98,0)</f>
        <v>1</v>
      </c>
      <c r="F98" s="2">
        <f>IF(COUNTIF(Roster!$D98:$M98,F$1)&gt;0,$B98,0)</f>
        <v>1</v>
      </c>
      <c r="G98" s="2">
        <f>IF(COUNTIF(Roster!$D98:$M98,G$1)&gt;0,$B98,0)</f>
        <v>0</v>
      </c>
      <c r="H98" s="2">
        <f>IF(COUNTIF(Roster!$D98:$M98,H$1)&gt;0,$B98,0)</f>
        <v>0</v>
      </c>
      <c r="I98" s="2">
        <f>IF(COUNTIF(Roster!$D98:$M98,I$1)&gt;0,$B98,0)</f>
        <v>1</v>
      </c>
      <c r="J98" s="2">
        <f>IF(COUNTIF(Roster!$D98:$M98,J$1)&gt;0,$B98,0)</f>
        <v>1</v>
      </c>
      <c r="K98" s="2">
        <f>IF(COUNTIF(Roster!$D98:$M98,K$1)&gt;0,$B98,0)</f>
        <v>0</v>
      </c>
      <c r="L98" s="2">
        <f>IF(COUNTIF(Roster!$D98:$M98,L$1)&gt;0,$B98,0)</f>
        <v>0</v>
      </c>
      <c r="M98" s="2">
        <f>IF(COUNTIF(Roster!$D98:$M98,M$1)&gt;0,$B98,0)</f>
        <v>0</v>
      </c>
      <c r="N98" s="2">
        <f>IF(COUNTIF(Roster!$D98:$M98,N$1)&gt;0,$B98,0)</f>
        <v>0</v>
      </c>
      <c r="O98" s="2">
        <f>IF(COUNTIF(Roster!$D98:$M98,O$1)&gt;0,$B98,0)</f>
        <v>0</v>
      </c>
      <c r="P98" s="2">
        <f>IF(COUNTIF(Roster!$D98:$M98,P$1)&gt;0,$B98,0)</f>
        <v>0</v>
      </c>
      <c r="Q98" s="2">
        <f>IF(COUNTIF(Roster!$D98:$M98,Q$1)&gt;0,$B98,0)</f>
        <v>0</v>
      </c>
      <c r="R98" s="2">
        <f>IF(COUNTIF(Roster!$D98:$M98,R$1)&gt;0,$B98,0)</f>
        <v>0</v>
      </c>
      <c r="S98" s="2">
        <f>IF(COUNTIF(Roster!$D98:$M98,S$1)&gt;0,$B98,0)</f>
        <v>1</v>
      </c>
      <c r="T98" s="2">
        <f>IF(COUNTIF(Roster!$D98:$M98,T$1)&gt;0,$B98,0)</f>
        <v>0</v>
      </c>
      <c r="U98" s="2">
        <f>IF(COUNTIF(Roster!$D98:$M98,U$1)&gt;0,$B98,0)</f>
        <v>1</v>
      </c>
      <c r="V98" s="2">
        <f>IF(COUNTIF(Roster!$D98:$M98,V$1)&gt;0,$B98,0)</f>
        <v>0</v>
      </c>
      <c r="W98" s="2">
        <f>IF(COUNTIF(Roster!$D98:$M98,W$1)&gt;0,$B98,0)</f>
        <v>0</v>
      </c>
      <c r="X98" s="2">
        <f t="shared" si="1"/>
        <v>4</v>
      </c>
    </row>
    <row r="99" spans="1:24" ht="15" customHeight="1" x14ac:dyDescent="0.3">
      <c r="A99" s="2">
        <f>Roster!A99</f>
        <v>98</v>
      </c>
      <c r="B99" s="2">
        <f>Roster!C99</f>
        <v>1</v>
      </c>
      <c r="C99" s="2">
        <f>IF(COUNTIF(Roster!$D99:$M99,C$1)&gt;0,$B99,0)</f>
        <v>1</v>
      </c>
      <c r="D99" s="2">
        <f>IF(COUNTIF(Roster!$D99:$M99,D$1)&gt;0,$B99,0)</f>
        <v>1</v>
      </c>
      <c r="E99" s="2">
        <f>IF(COUNTIF(Roster!$D99:$M99,E$1)&gt;0,$B99,0)</f>
        <v>1</v>
      </c>
      <c r="F99" s="2">
        <f>IF(COUNTIF(Roster!$D99:$M99,F$1)&gt;0,$B99,0)</f>
        <v>1</v>
      </c>
      <c r="G99" s="2">
        <f>IF(COUNTIF(Roster!$D99:$M99,G$1)&gt;0,$B99,0)</f>
        <v>0</v>
      </c>
      <c r="H99" s="2">
        <f>IF(COUNTIF(Roster!$D99:$M99,H$1)&gt;0,$B99,0)</f>
        <v>0</v>
      </c>
      <c r="I99" s="2">
        <f>IF(COUNTIF(Roster!$D99:$M99,I$1)&gt;0,$B99,0)</f>
        <v>1</v>
      </c>
      <c r="J99" s="2">
        <f>IF(COUNTIF(Roster!$D99:$M99,J$1)&gt;0,$B99,0)</f>
        <v>0</v>
      </c>
      <c r="K99" s="2">
        <f>IF(COUNTIF(Roster!$D99:$M99,K$1)&gt;0,$B99,0)</f>
        <v>0</v>
      </c>
      <c r="L99" s="2">
        <f>IF(COUNTIF(Roster!$D99:$M99,L$1)&gt;0,$B99,0)</f>
        <v>0</v>
      </c>
      <c r="M99" s="2">
        <f>IF(COUNTIF(Roster!$D99:$M99,M$1)&gt;0,$B99,0)</f>
        <v>0</v>
      </c>
      <c r="N99" s="2">
        <f>IF(COUNTIF(Roster!$D99:$M99,N$1)&gt;0,$B99,0)</f>
        <v>1</v>
      </c>
      <c r="O99" s="2">
        <f>IF(COUNTIF(Roster!$D99:$M99,O$1)&gt;0,$B99,0)</f>
        <v>0</v>
      </c>
      <c r="P99" s="2">
        <f>IF(COUNTIF(Roster!$D99:$M99,P$1)&gt;0,$B99,0)</f>
        <v>0</v>
      </c>
      <c r="Q99" s="2">
        <f>IF(COUNTIF(Roster!$D99:$M99,Q$1)&gt;0,$B99,0)</f>
        <v>0</v>
      </c>
      <c r="R99" s="2">
        <f>IF(COUNTIF(Roster!$D99:$M99,R$1)&gt;0,$B99,0)</f>
        <v>0</v>
      </c>
      <c r="S99" s="2">
        <f>IF(COUNTIF(Roster!$D99:$M99,S$1)&gt;0,$B99,0)</f>
        <v>1</v>
      </c>
      <c r="T99" s="2">
        <f>IF(COUNTIF(Roster!$D99:$M99,T$1)&gt;0,$B99,0)</f>
        <v>0</v>
      </c>
      <c r="U99" s="2">
        <f>IF(COUNTIF(Roster!$D99:$M99,U$1)&gt;0,$B99,0)</f>
        <v>1</v>
      </c>
      <c r="V99" s="2">
        <f>IF(COUNTIF(Roster!$D99:$M99,V$1)&gt;0,$B99,0)</f>
        <v>0</v>
      </c>
      <c r="W99" s="2">
        <f>IF(COUNTIF(Roster!$D99:$M99,W$1)&gt;0,$B99,0)</f>
        <v>0</v>
      </c>
      <c r="X99" s="2">
        <f t="shared" si="1"/>
        <v>4</v>
      </c>
    </row>
    <row r="100" spans="1:24" ht="15" customHeight="1" x14ac:dyDescent="0.3">
      <c r="A100" s="2">
        <f>Roster!A100</f>
        <v>99</v>
      </c>
      <c r="B100" s="2">
        <f>Roster!C100</f>
        <v>0</v>
      </c>
      <c r="C100" s="2">
        <f>IF(COUNTIF(Roster!$D100:$M100,C$1)&gt;0,$B100,0)</f>
        <v>0</v>
      </c>
      <c r="D100" s="2">
        <f>IF(COUNTIF(Roster!$D100:$M100,D$1)&gt;0,$B100,0)</f>
        <v>0</v>
      </c>
      <c r="E100" s="2">
        <f>IF(COUNTIF(Roster!$D100:$M100,E$1)&gt;0,$B100,0)</f>
        <v>0</v>
      </c>
      <c r="F100" s="2">
        <f>IF(COUNTIF(Roster!$D100:$M100,F$1)&gt;0,$B100,0)</f>
        <v>0</v>
      </c>
      <c r="G100" s="2">
        <f>IF(COUNTIF(Roster!$D100:$M100,G$1)&gt;0,$B100,0)</f>
        <v>0</v>
      </c>
      <c r="H100" s="2">
        <f>IF(COUNTIF(Roster!$D100:$M100,H$1)&gt;0,$B100,0)</f>
        <v>0</v>
      </c>
      <c r="I100" s="2">
        <f>IF(COUNTIF(Roster!$D100:$M100,I$1)&gt;0,$B100,0)</f>
        <v>0</v>
      </c>
      <c r="J100" s="2">
        <f>IF(COUNTIF(Roster!$D100:$M100,J$1)&gt;0,$B100,0)</f>
        <v>0</v>
      </c>
      <c r="K100" s="2">
        <f>IF(COUNTIF(Roster!$D100:$M100,K$1)&gt;0,$B100,0)</f>
        <v>0</v>
      </c>
      <c r="L100" s="2">
        <f>IF(COUNTIF(Roster!$D100:$M100,L$1)&gt;0,$B100,0)</f>
        <v>0</v>
      </c>
      <c r="M100" s="2">
        <f>IF(COUNTIF(Roster!$D100:$M100,M$1)&gt;0,$B100,0)</f>
        <v>0</v>
      </c>
      <c r="N100" s="2">
        <f>IF(COUNTIF(Roster!$D100:$M100,N$1)&gt;0,$B100,0)</f>
        <v>0</v>
      </c>
      <c r="O100" s="2">
        <f>IF(COUNTIF(Roster!$D100:$M100,O$1)&gt;0,$B100,0)</f>
        <v>0</v>
      </c>
      <c r="P100" s="2">
        <f>IF(COUNTIF(Roster!$D100:$M100,P$1)&gt;0,$B100,0)</f>
        <v>0</v>
      </c>
      <c r="Q100" s="2">
        <f>IF(COUNTIF(Roster!$D100:$M100,Q$1)&gt;0,$B100,0)</f>
        <v>0</v>
      </c>
      <c r="R100" s="2">
        <f>IF(COUNTIF(Roster!$D100:$M100,R$1)&gt;0,$B100,0)</f>
        <v>0</v>
      </c>
      <c r="S100" s="2">
        <f>IF(COUNTIF(Roster!$D100:$M100,S$1)&gt;0,$B100,0)</f>
        <v>0</v>
      </c>
      <c r="T100" s="2">
        <f>IF(COUNTIF(Roster!$D100:$M100,T$1)&gt;0,$B100,0)</f>
        <v>0</v>
      </c>
      <c r="U100" s="2">
        <f>IF(COUNTIF(Roster!$D100:$M100,U$1)&gt;0,$B100,0)</f>
        <v>0</v>
      </c>
      <c r="V100" s="2">
        <f>IF(COUNTIF(Roster!$D100:$M100,V$1)&gt;0,$B100,0)</f>
        <v>0</v>
      </c>
      <c r="W100" s="2">
        <f>IF(COUNTIF(Roster!$D100:$M100,W$1)&gt;0,$B100,0)</f>
        <v>0</v>
      </c>
      <c r="X100" s="2">
        <f t="shared" si="1"/>
        <v>0</v>
      </c>
    </row>
    <row r="101" spans="1:24" ht="15" customHeight="1" x14ac:dyDescent="0.3">
      <c r="A101" s="2">
        <f>Roster!A101</f>
        <v>100</v>
      </c>
      <c r="B101" s="2">
        <f>Roster!C101</f>
        <v>0</v>
      </c>
      <c r="C101" s="2">
        <f>IF(COUNTIF(Roster!$D101:$M101,C$1)&gt;0,$B101,0)</f>
        <v>0</v>
      </c>
      <c r="D101" s="2">
        <f>IF(COUNTIF(Roster!$D101:$M101,D$1)&gt;0,$B101,0)</f>
        <v>0</v>
      </c>
      <c r="E101" s="2">
        <f>IF(COUNTIF(Roster!$D101:$M101,E$1)&gt;0,$B101,0)</f>
        <v>0</v>
      </c>
      <c r="F101" s="2">
        <f>IF(COUNTIF(Roster!$D101:$M101,F$1)&gt;0,$B101,0)</f>
        <v>0</v>
      </c>
      <c r="G101" s="2">
        <f>IF(COUNTIF(Roster!$D101:$M101,G$1)&gt;0,$B101,0)</f>
        <v>0</v>
      </c>
      <c r="H101" s="2">
        <f>IF(COUNTIF(Roster!$D101:$M101,H$1)&gt;0,$B101,0)</f>
        <v>0</v>
      </c>
      <c r="I101" s="2">
        <f>IF(COUNTIF(Roster!$D101:$M101,I$1)&gt;0,$B101,0)</f>
        <v>0</v>
      </c>
      <c r="J101" s="2">
        <f>IF(COUNTIF(Roster!$D101:$M101,J$1)&gt;0,$B101,0)</f>
        <v>0</v>
      </c>
      <c r="K101" s="2">
        <f>IF(COUNTIF(Roster!$D101:$M101,K$1)&gt;0,$B101,0)</f>
        <v>0</v>
      </c>
      <c r="L101" s="2">
        <f>IF(COUNTIF(Roster!$D101:$M101,L$1)&gt;0,$B101,0)</f>
        <v>0</v>
      </c>
      <c r="M101" s="2">
        <f>IF(COUNTIF(Roster!$D101:$M101,M$1)&gt;0,$B101,0)</f>
        <v>0</v>
      </c>
      <c r="N101" s="2">
        <f>IF(COUNTIF(Roster!$D101:$M101,N$1)&gt;0,$B101,0)</f>
        <v>0</v>
      </c>
      <c r="O101" s="2">
        <f>IF(COUNTIF(Roster!$D101:$M101,O$1)&gt;0,$B101,0)</f>
        <v>0</v>
      </c>
      <c r="P101" s="2">
        <f>IF(COUNTIF(Roster!$D101:$M101,P$1)&gt;0,$B101,0)</f>
        <v>0</v>
      </c>
      <c r="Q101" s="2">
        <f>IF(COUNTIF(Roster!$D101:$M101,Q$1)&gt;0,$B101,0)</f>
        <v>0</v>
      </c>
      <c r="R101" s="2">
        <f>IF(COUNTIF(Roster!$D101:$M101,R$1)&gt;0,$B101,0)</f>
        <v>0</v>
      </c>
      <c r="S101" s="2">
        <f>IF(COUNTIF(Roster!$D101:$M101,S$1)&gt;0,$B101,0)</f>
        <v>0</v>
      </c>
      <c r="T101" s="2">
        <f>IF(COUNTIF(Roster!$D101:$M101,T$1)&gt;0,$B101,0)</f>
        <v>0</v>
      </c>
      <c r="U101" s="2">
        <f>IF(COUNTIF(Roster!$D101:$M101,U$1)&gt;0,$B101,0)</f>
        <v>0</v>
      </c>
      <c r="V101" s="2">
        <f>IF(COUNTIF(Roster!$D101:$M101,V$1)&gt;0,$B101,0)</f>
        <v>0</v>
      </c>
      <c r="W101" s="2">
        <f>IF(COUNTIF(Roster!$D101:$M101,W$1)&gt;0,$B101,0)</f>
        <v>0</v>
      </c>
      <c r="X101" s="2">
        <f t="shared" si="1"/>
        <v>0</v>
      </c>
    </row>
    <row r="102" spans="1:24" ht="15" customHeight="1" x14ac:dyDescent="0.3">
      <c r="A102" s="2">
        <f>Roster!A102</f>
        <v>101</v>
      </c>
      <c r="B102" s="2">
        <f>Roster!C102</f>
        <v>0</v>
      </c>
      <c r="C102" s="2">
        <f>IF(COUNTIF(Roster!$D102:$M102,C$1)&gt;0,$B102,0)</f>
        <v>0</v>
      </c>
      <c r="D102" s="2">
        <f>IF(COUNTIF(Roster!$D102:$M102,D$1)&gt;0,$B102,0)</f>
        <v>0</v>
      </c>
      <c r="E102" s="2">
        <f>IF(COUNTIF(Roster!$D102:$M102,E$1)&gt;0,$B102,0)</f>
        <v>0</v>
      </c>
      <c r="F102" s="2">
        <f>IF(COUNTIF(Roster!$D102:$M102,F$1)&gt;0,$B102,0)</f>
        <v>0</v>
      </c>
      <c r="G102" s="2">
        <f>IF(COUNTIF(Roster!$D102:$M102,G$1)&gt;0,$B102,0)</f>
        <v>0</v>
      </c>
      <c r="H102" s="2">
        <f>IF(COUNTIF(Roster!$D102:$M102,H$1)&gt;0,$B102,0)</f>
        <v>0</v>
      </c>
      <c r="I102" s="2">
        <f>IF(COUNTIF(Roster!$D102:$M102,I$1)&gt;0,$B102,0)</f>
        <v>0</v>
      </c>
      <c r="J102" s="2">
        <f>IF(COUNTIF(Roster!$D102:$M102,J$1)&gt;0,$B102,0)</f>
        <v>0</v>
      </c>
      <c r="K102" s="2">
        <f>IF(COUNTIF(Roster!$D102:$M102,K$1)&gt;0,$B102,0)</f>
        <v>0</v>
      </c>
      <c r="L102" s="2">
        <f>IF(COUNTIF(Roster!$D102:$M102,L$1)&gt;0,$B102,0)</f>
        <v>0</v>
      </c>
      <c r="M102" s="2">
        <f>IF(COUNTIF(Roster!$D102:$M102,M$1)&gt;0,$B102,0)</f>
        <v>0</v>
      </c>
      <c r="N102" s="2">
        <f>IF(COUNTIF(Roster!$D102:$M102,N$1)&gt;0,$B102,0)</f>
        <v>0</v>
      </c>
      <c r="O102" s="2">
        <f>IF(COUNTIF(Roster!$D102:$M102,O$1)&gt;0,$B102,0)</f>
        <v>0</v>
      </c>
      <c r="P102" s="2">
        <f>IF(COUNTIF(Roster!$D102:$M102,P$1)&gt;0,$B102,0)</f>
        <v>0</v>
      </c>
      <c r="Q102" s="2">
        <f>IF(COUNTIF(Roster!$D102:$M102,Q$1)&gt;0,$B102,0)</f>
        <v>0</v>
      </c>
      <c r="R102" s="2">
        <f>IF(COUNTIF(Roster!$D102:$M102,R$1)&gt;0,$B102,0)</f>
        <v>0</v>
      </c>
      <c r="S102" s="2">
        <f>IF(COUNTIF(Roster!$D102:$M102,S$1)&gt;0,$B102,0)</f>
        <v>0</v>
      </c>
      <c r="T102" s="2">
        <f>IF(COUNTIF(Roster!$D102:$M102,T$1)&gt;0,$B102,0)</f>
        <v>0</v>
      </c>
      <c r="U102" s="2">
        <f>IF(COUNTIF(Roster!$D102:$M102,U$1)&gt;0,$B102,0)</f>
        <v>0</v>
      </c>
      <c r="V102" s="2">
        <f>IF(COUNTIF(Roster!$D102:$M102,V$1)&gt;0,$B102,0)</f>
        <v>0</v>
      </c>
      <c r="W102" s="2">
        <f>IF(COUNTIF(Roster!$D102:$M102,W$1)&gt;0,$B102,0)</f>
        <v>0</v>
      </c>
      <c r="X102" s="2">
        <f t="shared" si="1"/>
        <v>0</v>
      </c>
    </row>
    <row r="103" spans="1:24" ht="15" customHeight="1" x14ac:dyDescent="0.3">
      <c r="A103" s="2">
        <f>Roster!A103</f>
        <v>102</v>
      </c>
      <c r="B103" s="2">
        <f>Roster!C103</f>
        <v>0</v>
      </c>
      <c r="C103" s="2">
        <f>IF(COUNTIF(Roster!$D103:$M103,C$1)&gt;0,$B103,0)</f>
        <v>0</v>
      </c>
      <c r="D103" s="2">
        <f>IF(COUNTIF(Roster!$D103:$M103,D$1)&gt;0,$B103,0)</f>
        <v>0</v>
      </c>
      <c r="E103" s="2">
        <f>IF(COUNTIF(Roster!$D103:$M103,E$1)&gt;0,$B103,0)</f>
        <v>0</v>
      </c>
      <c r="F103" s="2">
        <f>IF(COUNTIF(Roster!$D103:$M103,F$1)&gt;0,$B103,0)</f>
        <v>0</v>
      </c>
      <c r="G103" s="2">
        <f>IF(COUNTIF(Roster!$D103:$M103,G$1)&gt;0,$B103,0)</f>
        <v>0</v>
      </c>
      <c r="H103" s="2">
        <f>IF(COUNTIF(Roster!$D103:$M103,H$1)&gt;0,$B103,0)</f>
        <v>0</v>
      </c>
      <c r="I103" s="2">
        <f>IF(COUNTIF(Roster!$D103:$M103,I$1)&gt;0,$B103,0)</f>
        <v>0</v>
      </c>
      <c r="J103" s="2">
        <f>IF(COUNTIF(Roster!$D103:$M103,J$1)&gt;0,$B103,0)</f>
        <v>0</v>
      </c>
      <c r="K103" s="2">
        <f>IF(COUNTIF(Roster!$D103:$M103,K$1)&gt;0,$B103,0)</f>
        <v>0</v>
      </c>
      <c r="L103" s="2">
        <f>IF(COUNTIF(Roster!$D103:$M103,L$1)&gt;0,$B103,0)</f>
        <v>0</v>
      </c>
      <c r="M103" s="2">
        <f>IF(COUNTIF(Roster!$D103:$M103,M$1)&gt;0,$B103,0)</f>
        <v>0</v>
      </c>
      <c r="N103" s="2">
        <f>IF(COUNTIF(Roster!$D103:$M103,N$1)&gt;0,$B103,0)</f>
        <v>0</v>
      </c>
      <c r="O103" s="2">
        <f>IF(COUNTIF(Roster!$D103:$M103,O$1)&gt;0,$B103,0)</f>
        <v>0</v>
      </c>
      <c r="P103" s="2">
        <f>IF(COUNTIF(Roster!$D103:$M103,P$1)&gt;0,$B103,0)</f>
        <v>0</v>
      </c>
      <c r="Q103" s="2">
        <f>IF(COUNTIF(Roster!$D103:$M103,Q$1)&gt;0,$B103,0)</f>
        <v>0</v>
      </c>
      <c r="R103" s="2">
        <f>IF(COUNTIF(Roster!$D103:$M103,R$1)&gt;0,$B103,0)</f>
        <v>0</v>
      </c>
      <c r="S103" s="2">
        <f>IF(COUNTIF(Roster!$D103:$M103,S$1)&gt;0,$B103,0)</f>
        <v>0</v>
      </c>
      <c r="T103" s="2">
        <f>IF(COUNTIF(Roster!$D103:$M103,T$1)&gt;0,$B103,0)</f>
        <v>0</v>
      </c>
      <c r="U103" s="2">
        <f>IF(COUNTIF(Roster!$D103:$M103,U$1)&gt;0,$B103,0)</f>
        <v>0</v>
      </c>
      <c r="V103" s="2">
        <f>IF(COUNTIF(Roster!$D103:$M103,V$1)&gt;0,$B103,0)</f>
        <v>0</v>
      </c>
      <c r="W103" s="2">
        <f>IF(COUNTIF(Roster!$D103:$M103,W$1)&gt;0,$B103,0)</f>
        <v>0</v>
      </c>
      <c r="X103" s="2">
        <f t="shared" si="1"/>
        <v>0</v>
      </c>
    </row>
    <row r="104" spans="1:24" ht="15" customHeight="1" x14ac:dyDescent="0.3">
      <c r="A104" s="2">
        <f>Roster!A104</f>
        <v>103</v>
      </c>
      <c r="B104" s="2">
        <f>Roster!C104</f>
        <v>0</v>
      </c>
      <c r="C104" s="2">
        <f>IF(COUNTIF(Roster!$D104:$M104,C$1)&gt;0,$B104,0)</f>
        <v>0</v>
      </c>
      <c r="D104" s="2">
        <f>IF(COUNTIF(Roster!$D104:$M104,D$1)&gt;0,$B104,0)</f>
        <v>0</v>
      </c>
      <c r="E104" s="2">
        <f>IF(COUNTIF(Roster!$D104:$M104,E$1)&gt;0,$B104,0)</f>
        <v>0</v>
      </c>
      <c r="F104" s="2">
        <f>IF(COUNTIF(Roster!$D104:$M104,F$1)&gt;0,$B104,0)</f>
        <v>0</v>
      </c>
      <c r="G104" s="2">
        <f>IF(COUNTIF(Roster!$D104:$M104,G$1)&gt;0,$B104,0)</f>
        <v>0</v>
      </c>
      <c r="H104" s="2">
        <f>IF(COUNTIF(Roster!$D104:$M104,H$1)&gt;0,$B104,0)</f>
        <v>0</v>
      </c>
      <c r="I104" s="2">
        <f>IF(COUNTIF(Roster!$D104:$M104,I$1)&gt;0,$B104,0)</f>
        <v>0</v>
      </c>
      <c r="J104" s="2">
        <f>IF(COUNTIF(Roster!$D104:$M104,J$1)&gt;0,$B104,0)</f>
        <v>0</v>
      </c>
      <c r="K104" s="2">
        <f>IF(COUNTIF(Roster!$D104:$M104,K$1)&gt;0,$B104,0)</f>
        <v>0</v>
      </c>
      <c r="L104" s="2">
        <f>IF(COUNTIF(Roster!$D104:$M104,L$1)&gt;0,$B104,0)</f>
        <v>0</v>
      </c>
      <c r="M104" s="2">
        <f>IF(COUNTIF(Roster!$D104:$M104,M$1)&gt;0,$B104,0)</f>
        <v>0</v>
      </c>
      <c r="N104" s="2">
        <f>IF(COUNTIF(Roster!$D104:$M104,N$1)&gt;0,$B104,0)</f>
        <v>0</v>
      </c>
      <c r="O104" s="2">
        <f>IF(COUNTIF(Roster!$D104:$M104,O$1)&gt;0,$B104,0)</f>
        <v>0</v>
      </c>
      <c r="P104" s="2">
        <f>IF(COUNTIF(Roster!$D104:$M104,P$1)&gt;0,$B104,0)</f>
        <v>0</v>
      </c>
      <c r="Q104" s="2">
        <f>IF(COUNTIF(Roster!$D104:$M104,Q$1)&gt;0,$B104,0)</f>
        <v>0</v>
      </c>
      <c r="R104" s="2">
        <f>IF(COUNTIF(Roster!$D104:$M104,R$1)&gt;0,$B104,0)</f>
        <v>0</v>
      </c>
      <c r="S104" s="2">
        <f>IF(COUNTIF(Roster!$D104:$M104,S$1)&gt;0,$B104,0)</f>
        <v>0</v>
      </c>
      <c r="T104" s="2">
        <f>IF(COUNTIF(Roster!$D104:$M104,T$1)&gt;0,$B104,0)</f>
        <v>0</v>
      </c>
      <c r="U104" s="2">
        <f>IF(COUNTIF(Roster!$D104:$M104,U$1)&gt;0,$B104,0)</f>
        <v>0</v>
      </c>
      <c r="V104" s="2">
        <f>IF(COUNTIF(Roster!$D104:$M104,V$1)&gt;0,$B104,0)</f>
        <v>0</v>
      </c>
      <c r="W104" s="2">
        <f>IF(COUNTIF(Roster!$D104:$M104,W$1)&gt;0,$B104,0)</f>
        <v>0</v>
      </c>
      <c r="X104" s="2">
        <f t="shared" si="1"/>
        <v>0</v>
      </c>
    </row>
    <row r="105" spans="1:24" ht="15" customHeight="1" x14ac:dyDescent="0.3">
      <c r="A105" s="2">
        <f>Roster!A105</f>
        <v>104</v>
      </c>
      <c r="B105" s="2">
        <f>Roster!C105</f>
        <v>0</v>
      </c>
      <c r="C105" s="2">
        <f>IF(COUNTIF(Roster!$D105:$M105,C$1)&gt;0,$B105,0)</f>
        <v>0</v>
      </c>
      <c r="D105" s="2">
        <f>IF(COUNTIF(Roster!$D105:$M105,D$1)&gt;0,$B105,0)</f>
        <v>0</v>
      </c>
      <c r="E105" s="2">
        <f>IF(COUNTIF(Roster!$D105:$M105,E$1)&gt;0,$B105,0)</f>
        <v>0</v>
      </c>
      <c r="F105" s="2">
        <f>IF(COUNTIF(Roster!$D105:$M105,F$1)&gt;0,$B105,0)</f>
        <v>0</v>
      </c>
      <c r="G105" s="2">
        <f>IF(COUNTIF(Roster!$D105:$M105,G$1)&gt;0,$B105,0)</f>
        <v>0</v>
      </c>
      <c r="H105" s="2">
        <f>IF(COUNTIF(Roster!$D105:$M105,H$1)&gt;0,$B105,0)</f>
        <v>0</v>
      </c>
      <c r="I105" s="2">
        <f>IF(COUNTIF(Roster!$D105:$M105,I$1)&gt;0,$B105,0)</f>
        <v>0</v>
      </c>
      <c r="J105" s="2">
        <f>IF(COUNTIF(Roster!$D105:$M105,J$1)&gt;0,$B105,0)</f>
        <v>0</v>
      </c>
      <c r="K105" s="2">
        <f>IF(COUNTIF(Roster!$D105:$M105,K$1)&gt;0,$B105,0)</f>
        <v>0</v>
      </c>
      <c r="L105" s="2">
        <f>IF(COUNTIF(Roster!$D105:$M105,L$1)&gt;0,$B105,0)</f>
        <v>0</v>
      </c>
      <c r="M105" s="2">
        <f>IF(COUNTIF(Roster!$D105:$M105,M$1)&gt;0,$B105,0)</f>
        <v>0</v>
      </c>
      <c r="N105" s="2">
        <f>IF(COUNTIF(Roster!$D105:$M105,N$1)&gt;0,$B105,0)</f>
        <v>0</v>
      </c>
      <c r="O105" s="2">
        <f>IF(COUNTIF(Roster!$D105:$M105,O$1)&gt;0,$B105,0)</f>
        <v>0</v>
      </c>
      <c r="P105" s="2">
        <f>IF(COUNTIF(Roster!$D105:$M105,P$1)&gt;0,$B105,0)</f>
        <v>0</v>
      </c>
      <c r="Q105" s="2">
        <f>IF(COUNTIF(Roster!$D105:$M105,Q$1)&gt;0,$B105,0)</f>
        <v>0</v>
      </c>
      <c r="R105" s="2">
        <f>IF(COUNTIF(Roster!$D105:$M105,R$1)&gt;0,$B105,0)</f>
        <v>0</v>
      </c>
      <c r="S105" s="2">
        <f>IF(COUNTIF(Roster!$D105:$M105,S$1)&gt;0,$B105,0)</f>
        <v>0</v>
      </c>
      <c r="T105" s="2">
        <f>IF(COUNTIF(Roster!$D105:$M105,T$1)&gt;0,$B105,0)</f>
        <v>0</v>
      </c>
      <c r="U105" s="2">
        <f>IF(COUNTIF(Roster!$D105:$M105,U$1)&gt;0,$B105,0)</f>
        <v>0</v>
      </c>
      <c r="V105" s="2">
        <f>IF(COUNTIF(Roster!$D105:$M105,V$1)&gt;0,$B105,0)</f>
        <v>0</v>
      </c>
      <c r="W105" s="2">
        <f>IF(COUNTIF(Roster!$D105:$M105,W$1)&gt;0,$B105,0)</f>
        <v>0</v>
      </c>
      <c r="X105" s="2">
        <f t="shared" si="1"/>
        <v>0</v>
      </c>
    </row>
    <row r="106" spans="1:24" ht="15" customHeight="1" x14ac:dyDescent="0.3">
      <c r="A106" s="2">
        <f>Roster!A106</f>
        <v>105</v>
      </c>
      <c r="B106" s="2">
        <f>Roster!C106</f>
        <v>0</v>
      </c>
      <c r="C106" s="2">
        <f>IF(COUNTIF(Roster!$D106:$M106,C$1)&gt;0,$B106,0)</f>
        <v>0</v>
      </c>
      <c r="D106" s="2">
        <f>IF(COUNTIF(Roster!$D106:$M106,D$1)&gt;0,$B106,0)</f>
        <v>0</v>
      </c>
      <c r="E106" s="2">
        <f>IF(COUNTIF(Roster!$D106:$M106,E$1)&gt;0,$B106,0)</f>
        <v>0</v>
      </c>
      <c r="F106" s="2">
        <f>IF(COUNTIF(Roster!$D106:$M106,F$1)&gt;0,$B106,0)</f>
        <v>0</v>
      </c>
      <c r="G106" s="2">
        <f>IF(COUNTIF(Roster!$D106:$M106,G$1)&gt;0,$B106,0)</f>
        <v>0</v>
      </c>
      <c r="H106" s="2">
        <f>IF(COUNTIF(Roster!$D106:$M106,H$1)&gt;0,$B106,0)</f>
        <v>0</v>
      </c>
      <c r="I106" s="2">
        <f>IF(COUNTIF(Roster!$D106:$M106,I$1)&gt;0,$B106,0)</f>
        <v>0</v>
      </c>
      <c r="J106" s="2">
        <f>IF(COUNTIF(Roster!$D106:$M106,J$1)&gt;0,$B106,0)</f>
        <v>0</v>
      </c>
      <c r="K106" s="2">
        <f>IF(COUNTIF(Roster!$D106:$M106,K$1)&gt;0,$B106,0)</f>
        <v>0</v>
      </c>
      <c r="L106" s="2">
        <f>IF(COUNTIF(Roster!$D106:$M106,L$1)&gt;0,$B106,0)</f>
        <v>0</v>
      </c>
      <c r="M106" s="2">
        <f>IF(COUNTIF(Roster!$D106:$M106,M$1)&gt;0,$B106,0)</f>
        <v>0</v>
      </c>
      <c r="N106" s="2">
        <f>IF(COUNTIF(Roster!$D106:$M106,N$1)&gt;0,$B106,0)</f>
        <v>0</v>
      </c>
      <c r="O106" s="2">
        <f>IF(COUNTIF(Roster!$D106:$M106,O$1)&gt;0,$B106,0)</f>
        <v>0</v>
      </c>
      <c r="P106" s="2">
        <f>IF(COUNTIF(Roster!$D106:$M106,P$1)&gt;0,$B106,0)</f>
        <v>0</v>
      </c>
      <c r="Q106" s="2">
        <f>IF(COUNTIF(Roster!$D106:$M106,Q$1)&gt;0,$B106,0)</f>
        <v>0</v>
      </c>
      <c r="R106" s="2">
        <f>IF(COUNTIF(Roster!$D106:$M106,R$1)&gt;0,$B106,0)</f>
        <v>0</v>
      </c>
      <c r="S106" s="2">
        <f>IF(COUNTIF(Roster!$D106:$M106,S$1)&gt;0,$B106,0)</f>
        <v>0</v>
      </c>
      <c r="T106" s="2">
        <f>IF(COUNTIF(Roster!$D106:$M106,T$1)&gt;0,$B106,0)</f>
        <v>0</v>
      </c>
      <c r="U106" s="2">
        <f>IF(COUNTIF(Roster!$D106:$M106,U$1)&gt;0,$B106,0)</f>
        <v>0</v>
      </c>
      <c r="V106" s="2">
        <f>IF(COUNTIF(Roster!$D106:$M106,V$1)&gt;0,$B106,0)</f>
        <v>0</v>
      </c>
      <c r="W106" s="2">
        <f>IF(COUNTIF(Roster!$D106:$M106,W$1)&gt;0,$B106,0)</f>
        <v>0</v>
      </c>
      <c r="X106" s="2">
        <f t="shared" si="1"/>
        <v>0</v>
      </c>
    </row>
    <row r="107" spans="1:24" ht="15" customHeight="1" x14ac:dyDescent="0.3">
      <c r="A107" s="2">
        <f>Roster!A107</f>
        <v>106</v>
      </c>
      <c r="B107" s="2">
        <f>Roster!C107</f>
        <v>0</v>
      </c>
      <c r="C107" s="2">
        <f>IF(COUNTIF(Roster!$D107:$M107,C$1)&gt;0,$B107,0)</f>
        <v>0</v>
      </c>
      <c r="D107" s="2">
        <f>IF(COUNTIF(Roster!$D107:$M107,D$1)&gt;0,$B107,0)</f>
        <v>0</v>
      </c>
      <c r="E107" s="2">
        <f>IF(COUNTIF(Roster!$D107:$M107,E$1)&gt;0,$B107,0)</f>
        <v>0</v>
      </c>
      <c r="F107" s="2">
        <f>IF(COUNTIF(Roster!$D107:$M107,F$1)&gt;0,$B107,0)</f>
        <v>0</v>
      </c>
      <c r="G107" s="2">
        <f>IF(COUNTIF(Roster!$D107:$M107,G$1)&gt;0,$B107,0)</f>
        <v>0</v>
      </c>
      <c r="H107" s="2">
        <f>IF(COUNTIF(Roster!$D107:$M107,H$1)&gt;0,$B107,0)</f>
        <v>0</v>
      </c>
      <c r="I107" s="2">
        <f>IF(COUNTIF(Roster!$D107:$M107,I$1)&gt;0,$B107,0)</f>
        <v>0</v>
      </c>
      <c r="J107" s="2">
        <f>IF(COUNTIF(Roster!$D107:$M107,J$1)&gt;0,$B107,0)</f>
        <v>0</v>
      </c>
      <c r="K107" s="2">
        <f>IF(COUNTIF(Roster!$D107:$M107,K$1)&gt;0,$B107,0)</f>
        <v>0</v>
      </c>
      <c r="L107" s="2">
        <f>IF(COUNTIF(Roster!$D107:$M107,L$1)&gt;0,$B107,0)</f>
        <v>0</v>
      </c>
      <c r="M107" s="2">
        <f>IF(COUNTIF(Roster!$D107:$M107,M$1)&gt;0,$B107,0)</f>
        <v>0</v>
      </c>
      <c r="N107" s="2">
        <f>IF(COUNTIF(Roster!$D107:$M107,N$1)&gt;0,$B107,0)</f>
        <v>0</v>
      </c>
      <c r="O107" s="2">
        <f>IF(COUNTIF(Roster!$D107:$M107,O$1)&gt;0,$B107,0)</f>
        <v>0</v>
      </c>
      <c r="P107" s="2">
        <f>IF(COUNTIF(Roster!$D107:$M107,P$1)&gt;0,$B107,0)</f>
        <v>0</v>
      </c>
      <c r="Q107" s="2">
        <f>IF(COUNTIF(Roster!$D107:$M107,Q$1)&gt;0,$B107,0)</f>
        <v>0</v>
      </c>
      <c r="R107" s="2">
        <f>IF(COUNTIF(Roster!$D107:$M107,R$1)&gt;0,$B107,0)</f>
        <v>0</v>
      </c>
      <c r="S107" s="2">
        <f>IF(COUNTIF(Roster!$D107:$M107,S$1)&gt;0,$B107,0)</f>
        <v>0</v>
      </c>
      <c r="T107" s="2">
        <f>IF(COUNTIF(Roster!$D107:$M107,T$1)&gt;0,$B107,0)</f>
        <v>0</v>
      </c>
      <c r="U107" s="2">
        <f>IF(COUNTIF(Roster!$D107:$M107,U$1)&gt;0,$B107,0)</f>
        <v>0</v>
      </c>
      <c r="V107" s="2">
        <f>IF(COUNTIF(Roster!$D107:$M107,V$1)&gt;0,$B107,0)</f>
        <v>0</v>
      </c>
      <c r="W107" s="2">
        <f>IF(COUNTIF(Roster!$D107:$M107,W$1)&gt;0,$B107,0)</f>
        <v>0</v>
      </c>
      <c r="X107" s="2">
        <f t="shared" si="1"/>
        <v>0</v>
      </c>
    </row>
    <row r="108" spans="1:24" ht="15" customHeight="1" x14ac:dyDescent="0.3">
      <c r="A108" s="2">
        <f>Roster!A108</f>
        <v>107</v>
      </c>
      <c r="B108" s="2">
        <f>Roster!C108</f>
        <v>0</v>
      </c>
      <c r="C108" s="2">
        <f>IF(COUNTIF(Roster!$D108:$M108,C$1)&gt;0,$B108,0)</f>
        <v>0</v>
      </c>
      <c r="D108" s="2">
        <f>IF(COUNTIF(Roster!$D108:$M108,D$1)&gt;0,$B108,0)</f>
        <v>0</v>
      </c>
      <c r="E108" s="2">
        <f>IF(COUNTIF(Roster!$D108:$M108,E$1)&gt;0,$B108,0)</f>
        <v>0</v>
      </c>
      <c r="F108" s="2">
        <f>IF(COUNTIF(Roster!$D108:$M108,F$1)&gt;0,$B108,0)</f>
        <v>0</v>
      </c>
      <c r="G108" s="2">
        <f>IF(COUNTIF(Roster!$D108:$M108,G$1)&gt;0,$B108,0)</f>
        <v>0</v>
      </c>
      <c r="H108" s="2">
        <f>IF(COUNTIF(Roster!$D108:$M108,H$1)&gt;0,$B108,0)</f>
        <v>0</v>
      </c>
      <c r="I108" s="2">
        <f>IF(COUNTIF(Roster!$D108:$M108,I$1)&gt;0,$B108,0)</f>
        <v>0</v>
      </c>
      <c r="J108" s="2">
        <f>IF(COUNTIF(Roster!$D108:$M108,J$1)&gt;0,$B108,0)</f>
        <v>0</v>
      </c>
      <c r="K108" s="2">
        <f>IF(COUNTIF(Roster!$D108:$M108,K$1)&gt;0,$B108,0)</f>
        <v>0</v>
      </c>
      <c r="L108" s="2">
        <f>IF(COUNTIF(Roster!$D108:$M108,L$1)&gt;0,$B108,0)</f>
        <v>0</v>
      </c>
      <c r="M108" s="2">
        <f>IF(COUNTIF(Roster!$D108:$M108,M$1)&gt;0,$B108,0)</f>
        <v>0</v>
      </c>
      <c r="N108" s="2">
        <f>IF(COUNTIF(Roster!$D108:$M108,N$1)&gt;0,$B108,0)</f>
        <v>0</v>
      </c>
      <c r="O108" s="2">
        <f>IF(COUNTIF(Roster!$D108:$M108,O$1)&gt;0,$B108,0)</f>
        <v>0</v>
      </c>
      <c r="P108" s="2">
        <f>IF(COUNTIF(Roster!$D108:$M108,P$1)&gt;0,$B108,0)</f>
        <v>0</v>
      </c>
      <c r="Q108" s="2">
        <f>IF(COUNTIF(Roster!$D108:$M108,Q$1)&gt;0,$B108,0)</f>
        <v>0</v>
      </c>
      <c r="R108" s="2">
        <f>IF(COUNTIF(Roster!$D108:$M108,R$1)&gt;0,$B108,0)</f>
        <v>0</v>
      </c>
      <c r="S108" s="2">
        <f>IF(COUNTIF(Roster!$D108:$M108,S$1)&gt;0,$B108,0)</f>
        <v>0</v>
      </c>
      <c r="T108" s="2">
        <f>IF(COUNTIF(Roster!$D108:$M108,T$1)&gt;0,$B108,0)</f>
        <v>0</v>
      </c>
      <c r="U108" s="2">
        <f>IF(COUNTIF(Roster!$D108:$M108,U$1)&gt;0,$B108,0)</f>
        <v>0</v>
      </c>
      <c r="V108" s="2">
        <f>IF(COUNTIF(Roster!$D108:$M108,V$1)&gt;0,$B108,0)</f>
        <v>0</v>
      </c>
      <c r="W108" s="2">
        <f>IF(COUNTIF(Roster!$D108:$M108,W$1)&gt;0,$B108,0)</f>
        <v>0</v>
      </c>
      <c r="X108" s="2">
        <f t="shared" si="1"/>
        <v>0</v>
      </c>
    </row>
    <row r="109" spans="1:24" ht="15" customHeight="1" x14ac:dyDescent="0.3">
      <c r="A109" s="2">
        <f>Roster!A109</f>
        <v>108</v>
      </c>
      <c r="B109" s="2">
        <f>Roster!C109</f>
        <v>0</v>
      </c>
      <c r="C109" s="2">
        <f>IF(COUNTIF(Roster!$D109:$M109,C$1)&gt;0,$B109,0)</f>
        <v>0</v>
      </c>
      <c r="D109" s="2">
        <f>IF(COUNTIF(Roster!$D109:$M109,D$1)&gt;0,$B109,0)</f>
        <v>0</v>
      </c>
      <c r="E109" s="2">
        <f>IF(COUNTIF(Roster!$D109:$M109,E$1)&gt;0,$B109,0)</f>
        <v>0</v>
      </c>
      <c r="F109" s="2">
        <f>IF(COUNTIF(Roster!$D109:$M109,F$1)&gt;0,$B109,0)</f>
        <v>0</v>
      </c>
      <c r="G109" s="2">
        <f>IF(COUNTIF(Roster!$D109:$M109,G$1)&gt;0,$B109,0)</f>
        <v>0</v>
      </c>
      <c r="H109" s="2">
        <f>IF(COUNTIF(Roster!$D109:$M109,H$1)&gt;0,$B109,0)</f>
        <v>0</v>
      </c>
      <c r="I109" s="2">
        <f>IF(COUNTIF(Roster!$D109:$M109,I$1)&gt;0,$B109,0)</f>
        <v>0</v>
      </c>
      <c r="J109" s="2">
        <f>IF(COUNTIF(Roster!$D109:$M109,J$1)&gt;0,$B109,0)</f>
        <v>0</v>
      </c>
      <c r="K109" s="2">
        <f>IF(COUNTIF(Roster!$D109:$M109,K$1)&gt;0,$B109,0)</f>
        <v>0</v>
      </c>
      <c r="L109" s="2">
        <f>IF(COUNTIF(Roster!$D109:$M109,L$1)&gt;0,$B109,0)</f>
        <v>0</v>
      </c>
      <c r="M109" s="2">
        <f>IF(COUNTIF(Roster!$D109:$M109,M$1)&gt;0,$B109,0)</f>
        <v>0</v>
      </c>
      <c r="N109" s="2">
        <f>IF(COUNTIF(Roster!$D109:$M109,N$1)&gt;0,$B109,0)</f>
        <v>0</v>
      </c>
      <c r="O109" s="2">
        <f>IF(COUNTIF(Roster!$D109:$M109,O$1)&gt;0,$B109,0)</f>
        <v>0</v>
      </c>
      <c r="P109" s="2">
        <f>IF(COUNTIF(Roster!$D109:$M109,P$1)&gt;0,$B109,0)</f>
        <v>0</v>
      </c>
      <c r="Q109" s="2">
        <f>IF(COUNTIF(Roster!$D109:$M109,Q$1)&gt;0,$B109,0)</f>
        <v>0</v>
      </c>
      <c r="R109" s="2">
        <f>IF(COUNTIF(Roster!$D109:$M109,R$1)&gt;0,$B109,0)</f>
        <v>0</v>
      </c>
      <c r="S109" s="2">
        <f>IF(COUNTIF(Roster!$D109:$M109,S$1)&gt;0,$B109,0)</f>
        <v>0</v>
      </c>
      <c r="T109" s="2">
        <f>IF(COUNTIF(Roster!$D109:$M109,T$1)&gt;0,$B109,0)</f>
        <v>0</v>
      </c>
      <c r="U109" s="2">
        <f>IF(COUNTIF(Roster!$D109:$M109,U$1)&gt;0,$B109,0)</f>
        <v>0</v>
      </c>
      <c r="V109" s="2">
        <f>IF(COUNTIF(Roster!$D109:$M109,V$1)&gt;0,$B109,0)</f>
        <v>0</v>
      </c>
      <c r="W109" s="2">
        <f>IF(COUNTIF(Roster!$D109:$M109,W$1)&gt;0,$B109,0)</f>
        <v>0</v>
      </c>
      <c r="X109" s="2">
        <f t="shared" si="1"/>
        <v>0</v>
      </c>
    </row>
    <row r="110" spans="1:24" ht="15" customHeight="1" x14ac:dyDescent="0.3">
      <c r="A110" s="2">
        <f>Roster!A110</f>
        <v>109</v>
      </c>
      <c r="B110" s="2">
        <f>Roster!C110</f>
        <v>0</v>
      </c>
      <c r="C110" s="2">
        <f>IF(COUNTIF(Roster!$D110:$M110,C$1)&gt;0,$B110,0)</f>
        <v>0</v>
      </c>
      <c r="D110" s="2">
        <f>IF(COUNTIF(Roster!$D110:$M110,D$1)&gt;0,$B110,0)</f>
        <v>0</v>
      </c>
      <c r="E110" s="2">
        <f>IF(COUNTIF(Roster!$D110:$M110,E$1)&gt;0,$B110,0)</f>
        <v>0</v>
      </c>
      <c r="F110" s="2">
        <f>IF(COUNTIF(Roster!$D110:$M110,F$1)&gt;0,$B110,0)</f>
        <v>0</v>
      </c>
      <c r="G110" s="2">
        <f>IF(COUNTIF(Roster!$D110:$M110,G$1)&gt;0,$B110,0)</f>
        <v>0</v>
      </c>
      <c r="H110" s="2">
        <f>IF(COUNTIF(Roster!$D110:$M110,H$1)&gt;0,$B110,0)</f>
        <v>0</v>
      </c>
      <c r="I110" s="2">
        <f>IF(COUNTIF(Roster!$D110:$M110,I$1)&gt;0,$B110,0)</f>
        <v>0</v>
      </c>
      <c r="J110" s="2">
        <f>IF(COUNTIF(Roster!$D110:$M110,J$1)&gt;0,$B110,0)</f>
        <v>0</v>
      </c>
      <c r="K110" s="2">
        <f>IF(COUNTIF(Roster!$D110:$M110,K$1)&gt;0,$B110,0)</f>
        <v>0</v>
      </c>
      <c r="L110" s="2">
        <f>IF(COUNTIF(Roster!$D110:$M110,L$1)&gt;0,$B110,0)</f>
        <v>0</v>
      </c>
      <c r="M110" s="2">
        <f>IF(COUNTIF(Roster!$D110:$M110,M$1)&gt;0,$B110,0)</f>
        <v>0</v>
      </c>
      <c r="N110" s="2">
        <f>IF(COUNTIF(Roster!$D110:$M110,N$1)&gt;0,$B110,0)</f>
        <v>0</v>
      </c>
      <c r="O110" s="2">
        <f>IF(COUNTIF(Roster!$D110:$M110,O$1)&gt;0,$B110,0)</f>
        <v>0</v>
      </c>
      <c r="P110" s="2">
        <f>IF(COUNTIF(Roster!$D110:$M110,P$1)&gt;0,$B110,0)</f>
        <v>0</v>
      </c>
      <c r="Q110" s="2">
        <f>IF(COUNTIF(Roster!$D110:$M110,Q$1)&gt;0,$B110,0)</f>
        <v>0</v>
      </c>
      <c r="R110" s="2">
        <f>IF(COUNTIF(Roster!$D110:$M110,R$1)&gt;0,$B110,0)</f>
        <v>0</v>
      </c>
      <c r="S110" s="2">
        <f>IF(COUNTIF(Roster!$D110:$M110,S$1)&gt;0,$B110,0)</f>
        <v>0</v>
      </c>
      <c r="T110" s="2">
        <f>IF(COUNTIF(Roster!$D110:$M110,T$1)&gt;0,$B110,0)</f>
        <v>0</v>
      </c>
      <c r="U110" s="2">
        <f>IF(COUNTIF(Roster!$D110:$M110,U$1)&gt;0,$B110,0)</f>
        <v>0</v>
      </c>
      <c r="V110" s="2">
        <f>IF(COUNTIF(Roster!$D110:$M110,V$1)&gt;0,$B110,0)</f>
        <v>0</v>
      </c>
      <c r="W110" s="2">
        <f>IF(COUNTIF(Roster!$D110:$M110,W$1)&gt;0,$B110,0)</f>
        <v>0</v>
      </c>
      <c r="X110" s="2">
        <f t="shared" si="1"/>
        <v>0</v>
      </c>
    </row>
    <row r="111" spans="1:24" ht="15" customHeight="1" x14ac:dyDescent="0.3">
      <c r="A111" s="2">
        <f>Roster!A111</f>
        <v>110</v>
      </c>
      <c r="B111" s="2">
        <f>Roster!C111</f>
        <v>0</v>
      </c>
      <c r="C111" s="2">
        <f>IF(COUNTIF(Roster!$D111:$M111,C$1)&gt;0,$B111,0)</f>
        <v>0</v>
      </c>
      <c r="D111" s="2">
        <f>IF(COUNTIF(Roster!$D111:$M111,D$1)&gt;0,$B111,0)</f>
        <v>0</v>
      </c>
      <c r="E111" s="2">
        <f>IF(COUNTIF(Roster!$D111:$M111,E$1)&gt;0,$B111,0)</f>
        <v>0</v>
      </c>
      <c r="F111" s="2">
        <f>IF(COUNTIF(Roster!$D111:$M111,F$1)&gt;0,$B111,0)</f>
        <v>0</v>
      </c>
      <c r="G111" s="2">
        <f>IF(COUNTIF(Roster!$D111:$M111,G$1)&gt;0,$B111,0)</f>
        <v>0</v>
      </c>
      <c r="H111" s="2">
        <f>IF(COUNTIF(Roster!$D111:$M111,H$1)&gt;0,$B111,0)</f>
        <v>0</v>
      </c>
      <c r="I111" s="2">
        <f>IF(COUNTIF(Roster!$D111:$M111,I$1)&gt;0,$B111,0)</f>
        <v>0</v>
      </c>
      <c r="J111" s="2">
        <f>IF(COUNTIF(Roster!$D111:$M111,J$1)&gt;0,$B111,0)</f>
        <v>0</v>
      </c>
      <c r="K111" s="2">
        <f>IF(COUNTIF(Roster!$D111:$M111,K$1)&gt;0,$B111,0)</f>
        <v>0</v>
      </c>
      <c r="L111" s="2">
        <f>IF(COUNTIF(Roster!$D111:$M111,L$1)&gt;0,$B111,0)</f>
        <v>0</v>
      </c>
      <c r="M111" s="2">
        <f>IF(COUNTIF(Roster!$D111:$M111,M$1)&gt;0,$B111,0)</f>
        <v>0</v>
      </c>
      <c r="N111" s="2">
        <f>IF(COUNTIF(Roster!$D111:$M111,N$1)&gt;0,$B111,0)</f>
        <v>0</v>
      </c>
      <c r="O111" s="2">
        <f>IF(COUNTIF(Roster!$D111:$M111,O$1)&gt;0,$B111,0)</f>
        <v>0</v>
      </c>
      <c r="P111" s="2">
        <f>IF(COUNTIF(Roster!$D111:$M111,P$1)&gt;0,$B111,0)</f>
        <v>0</v>
      </c>
      <c r="Q111" s="2">
        <f>IF(COUNTIF(Roster!$D111:$M111,Q$1)&gt;0,$B111,0)</f>
        <v>0</v>
      </c>
      <c r="R111" s="2">
        <f>IF(COUNTIF(Roster!$D111:$M111,R$1)&gt;0,$B111,0)</f>
        <v>0</v>
      </c>
      <c r="S111" s="2">
        <f>IF(COUNTIF(Roster!$D111:$M111,S$1)&gt;0,$B111,0)</f>
        <v>0</v>
      </c>
      <c r="T111" s="2">
        <f>IF(COUNTIF(Roster!$D111:$M111,T$1)&gt;0,$B111,0)</f>
        <v>0</v>
      </c>
      <c r="U111" s="2">
        <f>IF(COUNTIF(Roster!$D111:$M111,U$1)&gt;0,$B111,0)</f>
        <v>0</v>
      </c>
      <c r="V111" s="2">
        <f>IF(COUNTIF(Roster!$D111:$M111,V$1)&gt;0,$B111,0)</f>
        <v>0</v>
      </c>
      <c r="W111" s="2">
        <f>IF(COUNTIF(Roster!$D111:$M111,W$1)&gt;0,$B111,0)</f>
        <v>0</v>
      </c>
      <c r="X111" s="2">
        <f t="shared" si="1"/>
        <v>0</v>
      </c>
    </row>
    <row r="112" spans="1:24" ht="15" customHeight="1" x14ac:dyDescent="0.3">
      <c r="A112" s="2">
        <f>Roster!A112</f>
        <v>111</v>
      </c>
      <c r="B112" s="2">
        <f>Roster!C112</f>
        <v>0</v>
      </c>
      <c r="C112" s="2">
        <f>IF(COUNTIF(Roster!$D112:$M112,C$1)&gt;0,$B112,0)</f>
        <v>0</v>
      </c>
      <c r="D112" s="2">
        <f>IF(COUNTIF(Roster!$D112:$M112,D$1)&gt;0,$B112,0)</f>
        <v>0</v>
      </c>
      <c r="E112" s="2">
        <f>IF(COUNTIF(Roster!$D112:$M112,E$1)&gt;0,$B112,0)</f>
        <v>0</v>
      </c>
      <c r="F112" s="2">
        <f>IF(COUNTIF(Roster!$D112:$M112,F$1)&gt;0,$B112,0)</f>
        <v>0</v>
      </c>
      <c r="G112" s="2">
        <f>IF(COUNTIF(Roster!$D112:$M112,G$1)&gt;0,$B112,0)</f>
        <v>0</v>
      </c>
      <c r="H112" s="2">
        <f>IF(COUNTIF(Roster!$D112:$M112,H$1)&gt;0,$B112,0)</f>
        <v>0</v>
      </c>
      <c r="I112" s="2">
        <f>IF(COUNTIF(Roster!$D112:$M112,I$1)&gt;0,$B112,0)</f>
        <v>0</v>
      </c>
      <c r="J112" s="2">
        <f>IF(COUNTIF(Roster!$D112:$M112,J$1)&gt;0,$B112,0)</f>
        <v>0</v>
      </c>
      <c r="K112" s="2">
        <f>IF(COUNTIF(Roster!$D112:$M112,K$1)&gt;0,$B112,0)</f>
        <v>0</v>
      </c>
      <c r="L112" s="2">
        <f>IF(COUNTIF(Roster!$D112:$M112,L$1)&gt;0,$B112,0)</f>
        <v>0</v>
      </c>
      <c r="M112" s="2">
        <f>IF(COUNTIF(Roster!$D112:$M112,M$1)&gt;0,$B112,0)</f>
        <v>0</v>
      </c>
      <c r="N112" s="2">
        <f>IF(COUNTIF(Roster!$D112:$M112,N$1)&gt;0,$B112,0)</f>
        <v>0</v>
      </c>
      <c r="O112" s="2">
        <f>IF(COUNTIF(Roster!$D112:$M112,O$1)&gt;0,$B112,0)</f>
        <v>0</v>
      </c>
      <c r="P112" s="2">
        <f>IF(COUNTIF(Roster!$D112:$M112,P$1)&gt;0,$B112,0)</f>
        <v>0</v>
      </c>
      <c r="Q112" s="2">
        <f>IF(COUNTIF(Roster!$D112:$M112,Q$1)&gt;0,$B112,0)</f>
        <v>0</v>
      </c>
      <c r="R112" s="2">
        <f>IF(COUNTIF(Roster!$D112:$M112,R$1)&gt;0,$B112,0)</f>
        <v>0</v>
      </c>
      <c r="S112" s="2">
        <f>IF(COUNTIF(Roster!$D112:$M112,S$1)&gt;0,$B112,0)</f>
        <v>0</v>
      </c>
      <c r="T112" s="2">
        <f>IF(COUNTIF(Roster!$D112:$M112,T$1)&gt;0,$B112,0)</f>
        <v>0</v>
      </c>
      <c r="U112" s="2">
        <f>IF(COUNTIF(Roster!$D112:$M112,U$1)&gt;0,$B112,0)</f>
        <v>0</v>
      </c>
      <c r="V112" s="2">
        <f>IF(COUNTIF(Roster!$D112:$M112,V$1)&gt;0,$B112,0)</f>
        <v>0</v>
      </c>
      <c r="W112" s="2">
        <f>IF(COUNTIF(Roster!$D112:$M112,W$1)&gt;0,$B112,0)</f>
        <v>0</v>
      </c>
      <c r="X112" s="2">
        <f t="shared" si="1"/>
        <v>0</v>
      </c>
    </row>
    <row r="113" spans="1:24" ht="15" customHeight="1" x14ac:dyDescent="0.3">
      <c r="A113" s="2">
        <f>Roster!A113</f>
        <v>112</v>
      </c>
      <c r="B113" s="2">
        <f>Roster!C113</f>
        <v>0</v>
      </c>
      <c r="C113" s="2">
        <f>IF(COUNTIF(Roster!$D113:$M113,C$1)&gt;0,$B113,0)</f>
        <v>0</v>
      </c>
      <c r="D113" s="2">
        <f>IF(COUNTIF(Roster!$D113:$M113,D$1)&gt;0,$B113,0)</f>
        <v>0</v>
      </c>
      <c r="E113" s="2">
        <f>IF(COUNTIF(Roster!$D113:$M113,E$1)&gt;0,$B113,0)</f>
        <v>0</v>
      </c>
      <c r="F113" s="2">
        <f>IF(COUNTIF(Roster!$D113:$M113,F$1)&gt;0,$B113,0)</f>
        <v>0</v>
      </c>
      <c r="G113" s="2">
        <f>IF(COUNTIF(Roster!$D113:$M113,G$1)&gt;0,$B113,0)</f>
        <v>0</v>
      </c>
      <c r="H113" s="2">
        <f>IF(COUNTIF(Roster!$D113:$M113,H$1)&gt;0,$B113,0)</f>
        <v>0</v>
      </c>
      <c r="I113" s="2">
        <f>IF(COUNTIF(Roster!$D113:$M113,I$1)&gt;0,$B113,0)</f>
        <v>0</v>
      </c>
      <c r="J113" s="2">
        <f>IF(COUNTIF(Roster!$D113:$M113,J$1)&gt;0,$B113,0)</f>
        <v>0</v>
      </c>
      <c r="K113" s="2">
        <f>IF(COUNTIF(Roster!$D113:$M113,K$1)&gt;0,$B113,0)</f>
        <v>0</v>
      </c>
      <c r="L113" s="2">
        <f>IF(COUNTIF(Roster!$D113:$M113,L$1)&gt;0,$B113,0)</f>
        <v>0</v>
      </c>
      <c r="M113" s="2">
        <f>IF(COUNTIF(Roster!$D113:$M113,M$1)&gt;0,$B113,0)</f>
        <v>0</v>
      </c>
      <c r="N113" s="2">
        <f>IF(COUNTIF(Roster!$D113:$M113,N$1)&gt;0,$B113,0)</f>
        <v>0</v>
      </c>
      <c r="O113" s="2">
        <f>IF(COUNTIF(Roster!$D113:$M113,O$1)&gt;0,$B113,0)</f>
        <v>0</v>
      </c>
      <c r="P113" s="2">
        <f>IF(COUNTIF(Roster!$D113:$M113,P$1)&gt;0,$B113,0)</f>
        <v>0</v>
      </c>
      <c r="Q113" s="2">
        <f>IF(COUNTIF(Roster!$D113:$M113,Q$1)&gt;0,$B113,0)</f>
        <v>0</v>
      </c>
      <c r="R113" s="2">
        <f>IF(COUNTIF(Roster!$D113:$M113,R$1)&gt;0,$B113,0)</f>
        <v>0</v>
      </c>
      <c r="S113" s="2">
        <f>IF(COUNTIF(Roster!$D113:$M113,S$1)&gt;0,$B113,0)</f>
        <v>0</v>
      </c>
      <c r="T113" s="2">
        <f>IF(COUNTIF(Roster!$D113:$M113,T$1)&gt;0,$B113,0)</f>
        <v>0</v>
      </c>
      <c r="U113" s="2">
        <f>IF(COUNTIF(Roster!$D113:$M113,U$1)&gt;0,$B113,0)</f>
        <v>0</v>
      </c>
      <c r="V113" s="2">
        <f>IF(COUNTIF(Roster!$D113:$M113,V$1)&gt;0,$B113,0)</f>
        <v>0</v>
      </c>
      <c r="W113" s="2">
        <f>IF(COUNTIF(Roster!$D113:$M113,W$1)&gt;0,$B113,0)</f>
        <v>0</v>
      </c>
      <c r="X113" s="2">
        <f t="shared" si="1"/>
        <v>0</v>
      </c>
    </row>
    <row r="114" spans="1:24" ht="15" customHeight="1" x14ac:dyDescent="0.3">
      <c r="A114" s="2">
        <f>Roster!A114</f>
        <v>113</v>
      </c>
      <c r="B114" s="2">
        <f>Roster!C114</f>
        <v>0</v>
      </c>
      <c r="C114" s="2">
        <f>IF(COUNTIF(Roster!$D114:$M114,C$1)&gt;0,$B114,0)</f>
        <v>0</v>
      </c>
      <c r="D114" s="2">
        <f>IF(COUNTIF(Roster!$D114:$M114,D$1)&gt;0,$B114,0)</f>
        <v>0</v>
      </c>
      <c r="E114" s="2">
        <f>IF(COUNTIF(Roster!$D114:$M114,E$1)&gt;0,$B114,0)</f>
        <v>0</v>
      </c>
      <c r="F114" s="2">
        <f>IF(COUNTIF(Roster!$D114:$M114,F$1)&gt;0,$B114,0)</f>
        <v>0</v>
      </c>
      <c r="G114" s="2">
        <f>IF(COUNTIF(Roster!$D114:$M114,G$1)&gt;0,$B114,0)</f>
        <v>0</v>
      </c>
      <c r="H114" s="2">
        <f>IF(COUNTIF(Roster!$D114:$M114,H$1)&gt;0,$B114,0)</f>
        <v>0</v>
      </c>
      <c r="I114" s="2">
        <f>IF(COUNTIF(Roster!$D114:$M114,I$1)&gt;0,$B114,0)</f>
        <v>0</v>
      </c>
      <c r="J114" s="2">
        <f>IF(COUNTIF(Roster!$D114:$M114,J$1)&gt;0,$B114,0)</f>
        <v>0</v>
      </c>
      <c r="K114" s="2">
        <f>IF(COUNTIF(Roster!$D114:$M114,K$1)&gt;0,$B114,0)</f>
        <v>0</v>
      </c>
      <c r="L114" s="2">
        <f>IF(COUNTIF(Roster!$D114:$M114,L$1)&gt;0,$B114,0)</f>
        <v>0</v>
      </c>
      <c r="M114" s="2">
        <f>IF(COUNTIF(Roster!$D114:$M114,M$1)&gt;0,$B114,0)</f>
        <v>0</v>
      </c>
      <c r="N114" s="2">
        <f>IF(COUNTIF(Roster!$D114:$M114,N$1)&gt;0,$B114,0)</f>
        <v>0</v>
      </c>
      <c r="O114" s="2">
        <f>IF(COUNTIF(Roster!$D114:$M114,O$1)&gt;0,$B114,0)</f>
        <v>0</v>
      </c>
      <c r="P114" s="2">
        <f>IF(COUNTIF(Roster!$D114:$M114,P$1)&gt;0,$B114,0)</f>
        <v>0</v>
      </c>
      <c r="Q114" s="2">
        <f>IF(COUNTIF(Roster!$D114:$M114,Q$1)&gt;0,$B114,0)</f>
        <v>0</v>
      </c>
      <c r="R114" s="2">
        <f>IF(COUNTIF(Roster!$D114:$M114,R$1)&gt;0,$B114,0)</f>
        <v>0</v>
      </c>
      <c r="S114" s="2">
        <f>IF(COUNTIF(Roster!$D114:$M114,S$1)&gt;0,$B114,0)</f>
        <v>0</v>
      </c>
      <c r="T114" s="2">
        <f>IF(COUNTIF(Roster!$D114:$M114,T$1)&gt;0,$B114,0)</f>
        <v>0</v>
      </c>
      <c r="U114" s="2">
        <f>IF(COUNTIF(Roster!$D114:$M114,U$1)&gt;0,$B114,0)</f>
        <v>0</v>
      </c>
      <c r="V114" s="2">
        <f>IF(COUNTIF(Roster!$D114:$M114,V$1)&gt;0,$B114,0)</f>
        <v>0</v>
      </c>
      <c r="W114" s="2">
        <f>IF(COUNTIF(Roster!$D114:$M114,W$1)&gt;0,$B114,0)</f>
        <v>0</v>
      </c>
      <c r="X114" s="2">
        <f t="shared" si="1"/>
        <v>0</v>
      </c>
    </row>
    <row r="115" spans="1:24" ht="15" customHeight="1" x14ac:dyDescent="0.3">
      <c r="A115" s="2">
        <f>Roster!A115</f>
        <v>114</v>
      </c>
      <c r="B115" s="2">
        <f>Roster!C115</f>
        <v>0</v>
      </c>
      <c r="C115" s="2">
        <f>IF(COUNTIF(Roster!$D115:$M115,C$1)&gt;0,$B115,0)</f>
        <v>0</v>
      </c>
      <c r="D115" s="2">
        <f>IF(COUNTIF(Roster!$D115:$M115,D$1)&gt;0,$B115,0)</f>
        <v>0</v>
      </c>
      <c r="E115" s="2">
        <f>IF(COUNTIF(Roster!$D115:$M115,E$1)&gt;0,$B115,0)</f>
        <v>0</v>
      </c>
      <c r="F115" s="2">
        <f>IF(COUNTIF(Roster!$D115:$M115,F$1)&gt;0,$B115,0)</f>
        <v>0</v>
      </c>
      <c r="G115" s="2">
        <f>IF(COUNTIF(Roster!$D115:$M115,G$1)&gt;0,$B115,0)</f>
        <v>0</v>
      </c>
      <c r="H115" s="2">
        <f>IF(COUNTIF(Roster!$D115:$M115,H$1)&gt;0,$B115,0)</f>
        <v>0</v>
      </c>
      <c r="I115" s="2">
        <f>IF(COUNTIF(Roster!$D115:$M115,I$1)&gt;0,$B115,0)</f>
        <v>0</v>
      </c>
      <c r="J115" s="2">
        <f>IF(COUNTIF(Roster!$D115:$M115,J$1)&gt;0,$B115,0)</f>
        <v>0</v>
      </c>
      <c r="K115" s="2">
        <f>IF(COUNTIF(Roster!$D115:$M115,K$1)&gt;0,$B115,0)</f>
        <v>0</v>
      </c>
      <c r="L115" s="2">
        <f>IF(COUNTIF(Roster!$D115:$M115,L$1)&gt;0,$B115,0)</f>
        <v>0</v>
      </c>
      <c r="M115" s="2">
        <f>IF(COUNTIF(Roster!$D115:$M115,M$1)&gt;0,$B115,0)</f>
        <v>0</v>
      </c>
      <c r="N115" s="2">
        <f>IF(COUNTIF(Roster!$D115:$M115,N$1)&gt;0,$B115,0)</f>
        <v>0</v>
      </c>
      <c r="O115" s="2">
        <f>IF(COUNTIF(Roster!$D115:$M115,O$1)&gt;0,$B115,0)</f>
        <v>0</v>
      </c>
      <c r="P115" s="2">
        <f>IF(COUNTIF(Roster!$D115:$M115,P$1)&gt;0,$B115,0)</f>
        <v>0</v>
      </c>
      <c r="Q115" s="2">
        <f>IF(COUNTIF(Roster!$D115:$M115,Q$1)&gt;0,$B115,0)</f>
        <v>0</v>
      </c>
      <c r="R115" s="2">
        <f>IF(COUNTIF(Roster!$D115:$M115,R$1)&gt;0,$B115,0)</f>
        <v>0</v>
      </c>
      <c r="S115" s="2">
        <f>IF(COUNTIF(Roster!$D115:$M115,S$1)&gt;0,$B115,0)</f>
        <v>0</v>
      </c>
      <c r="T115" s="2">
        <f>IF(COUNTIF(Roster!$D115:$M115,T$1)&gt;0,$B115,0)</f>
        <v>0</v>
      </c>
      <c r="U115" s="2">
        <f>IF(COUNTIF(Roster!$D115:$M115,U$1)&gt;0,$B115,0)</f>
        <v>0</v>
      </c>
      <c r="V115" s="2">
        <f>IF(COUNTIF(Roster!$D115:$M115,V$1)&gt;0,$B115,0)</f>
        <v>0</v>
      </c>
      <c r="W115" s="2">
        <f>IF(COUNTIF(Roster!$D115:$M115,W$1)&gt;0,$B115,0)</f>
        <v>0</v>
      </c>
      <c r="X115" s="2">
        <f t="shared" si="1"/>
        <v>0</v>
      </c>
    </row>
    <row r="116" spans="1:24" ht="15" customHeight="1" x14ac:dyDescent="0.3">
      <c r="A116" s="2">
        <f>Roster!A116</f>
        <v>115</v>
      </c>
      <c r="B116" s="2">
        <f>Roster!C116</f>
        <v>0</v>
      </c>
      <c r="C116" s="2">
        <f>IF(COUNTIF(Roster!$D116:$M116,C$1)&gt;0,$B116,0)</f>
        <v>0</v>
      </c>
      <c r="D116" s="2">
        <f>IF(COUNTIF(Roster!$D116:$M116,D$1)&gt;0,$B116,0)</f>
        <v>0</v>
      </c>
      <c r="E116" s="2">
        <f>IF(COUNTIF(Roster!$D116:$M116,E$1)&gt;0,$B116,0)</f>
        <v>0</v>
      </c>
      <c r="F116" s="2">
        <f>IF(COUNTIF(Roster!$D116:$M116,F$1)&gt;0,$B116,0)</f>
        <v>0</v>
      </c>
      <c r="G116" s="2">
        <f>IF(COUNTIF(Roster!$D116:$M116,G$1)&gt;0,$B116,0)</f>
        <v>0</v>
      </c>
      <c r="H116" s="2">
        <f>IF(COUNTIF(Roster!$D116:$M116,H$1)&gt;0,$B116,0)</f>
        <v>0</v>
      </c>
      <c r="I116" s="2">
        <f>IF(COUNTIF(Roster!$D116:$M116,I$1)&gt;0,$B116,0)</f>
        <v>0</v>
      </c>
      <c r="J116" s="2">
        <f>IF(COUNTIF(Roster!$D116:$M116,J$1)&gt;0,$B116,0)</f>
        <v>0</v>
      </c>
      <c r="K116" s="2">
        <f>IF(COUNTIF(Roster!$D116:$M116,K$1)&gt;0,$B116,0)</f>
        <v>0</v>
      </c>
      <c r="L116" s="2">
        <f>IF(COUNTIF(Roster!$D116:$M116,L$1)&gt;0,$B116,0)</f>
        <v>0</v>
      </c>
      <c r="M116" s="2">
        <f>IF(COUNTIF(Roster!$D116:$M116,M$1)&gt;0,$B116,0)</f>
        <v>0</v>
      </c>
      <c r="N116" s="2">
        <f>IF(COUNTIF(Roster!$D116:$M116,N$1)&gt;0,$B116,0)</f>
        <v>0</v>
      </c>
      <c r="O116" s="2">
        <f>IF(COUNTIF(Roster!$D116:$M116,O$1)&gt;0,$B116,0)</f>
        <v>0</v>
      </c>
      <c r="P116" s="2">
        <f>IF(COUNTIF(Roster!$D116:$M116,P$1)&gt;0,$B116,0)</f>
        <v>0</v>
      </c>
      <c r="Q116" s="2">
        <f>IF(COUNTIF(Roster!$D116:$M116,Q$1)&gt;0,$B116,0)</f>
        <v>0</v>
      </c>
      <c r="R116" s="2">
        <f>IF(COUNTIF(Roster!$D116:$M116,R$1)&gt;0,$B116,0)</f>
        <v>0</v>
      </c>
      <c r="S116" s="2">
        <f>IF(COUNTIF(Roster!$D116:$M116,S$1)&gt;0,$B116,0)</f>
        <v>0</v>
      </c>
      <c r="T116" s="2">
        <f>IF(COUNTIF(Roster!$D116:$M116,T$1)&gt;0,$B116,0)</f>
        <v>0</v>
      </c>
      <c r="U116" s="2">
        <f>IF(COUNTIF(Roster!$D116:$M116,U$1)&gt;0,$B116,0)</f>
        <v>0</v>
      </c>
      <c r="V116" s="2">
        <f>IF(COUNTIF(Roster!$D116:$M116,V$1)&gt;0,$B116,0)</f>
        <v>0</v>
      </c>
      <c r="W116" s="2">
        <f>IF(COUNTIF(Roster!$D116:$M116,W$1)&gt;0,$B116,0)</f>
        <v>0</v>
      </c>
      <c r="X116" s="2">
        <f t="shared" si="1"/>
        <v>0</v>
      </c>
    </row>
    <row r="117" spans="1:24" ht="15" customHeight="1" x14ac:dyDescent="0.3">
      <c r="A117" s="2">
        <f>Roster!A117</f>
        <v>116</v>
      </c>
      <c r="B117" s="2">
        <f>Roster!C117</f>
        <v>0</v>
      </c>
      <c r="C117" s="2">
        <f>IF(COUNTIF(Roster!$D117:$M117,C$1)&gt;0,$B117,0)</f>
        <v>0</v>
      </c>
      <c r="D117" s="2">
        <f>IF(COUNTIF(Roster!$D117:$M117,D$1)&gt;0,$B117,0)</f>
        <v>0</v>
      </c>
      <c r="E117" s="2">
        <f>IF(COUNTIF(Roster!$D117:$M117,E$1)&gt;0,$B117,0)</f>
        <v>0</v>
      </c>
      <c r="F117" s="2">
        <f>IF(COUNTIF(Roster!$D117:$M117,F$1)&gt;0,$B117,0)</f>
        <v>0</v>
      </c>
      <c r="G117" s="2">
        <f>IF(COUNTIF(Roster!$D117:$M117,G$1)&gt;0,$B117,0)</f>
        <v>0</v>
      </c>
      <c r="H117" s="2">
        <f>IF(COUNTIF(Roster!$D117:$M117,H$1)&gt;0,$B117,0)</f>
        <v>0</v>
      </c>
      <c r="I117" s="2">
        <f>IF(COUNTIF(Roster!$D117:$M117,I$1)&gt;0,$B117,0)</f>
        <v>0</v>
      </c>
      <c r="J117" s="2">
        <f>IF(COUNTIF(Roster!$D117:$M117,J$1)&gt;0,$B117,0)</f>
        <v>0</v>
      </c>
      <c r="K117" s="2">
        <f>IF(COUNTIF(Roster!$D117:$M117,K$1)&gt;0,$B117,0)</f>
        <v>0</v>
      </c>
      <c r="L117" s="2">
        <f>IF(COUNTIF(Roster!$D117:$M117,L$1)&gt;0,$B117,0)</f>
        <v>0</v>
      </c>
      <c r="M117" s="2">
        <f>IF(COUNTIF(Roster!$D117:$M117,M$1)&gt;0,$B117,0)</f>
        <v>0</v>
      </c>
      <c r="N117" s="2">
        <f>IF(COUNTIF(Roster!$D117:$M117,N$1)&gt;0,$B117,0)</f>
        <v>0</v>
      </c>
      <c r="O117" s="2">
        <f>IF(COUNTIF(Roster!$D117:$M117,O$1)&gt;0,$B117,0)</f>
        <v>0</v>
      </c>
      <c r="P117" s="2">
        <f>IF(COUNTIF(Roster!$D117:$M117,P$1)&gt;0,$B117,0)</f>
        <v>0</v>
      </c>
      <c r="Q117" s="2">
        <f>IF(COUNTIF(Roster!$D117:$M117,Q$1)&gt;0,$B117,0)</f>
        <v>0</v>
      </c>
      <c r="R117" s="2">
        <f>IF(COUNTIF(Roster!$D117:$M117,R$1)&gt;0,$B117,0)</f>
        <v>0</v>
      </c>
      <c r="S117" s="2">
        <f>IF(COUNTIF(Roster!$D117:$M117,S$1)&gt;0,$B117,0)</f>
        <v>0</v>
      </c>
      <c r="T117" s="2">
        <f>IF(COUNTIF(Roster!$D117:$M117,T$1)&gt;0,$B117,0)</f>
        <v>0</v>
      </c>
      <c r="U117" s="2">
        <f>IF(COUNTIF(Roster!$D117:$M117,U$1)&gt;0,$B117,0)</f>
        <v>0</v>
      </c>
      <c r="V117" s="2">
        <f>IF(COUNTIF(Roster!$D117:$M117,V$1)&gt;0,$B117,0)</f>
        <v>0</v>
      </c>
      <c r="W117" s="2">
        <f>IF(COUNTIF(Roster!$D117:$M117,W$1)&gt;0,$B117,0)</f>
        <v>0</v>
      </c>
      <c r="X117" s="2">
        <f t="shared" si="1"/>
        <v>0</v>
      </c>
    </row>
    <row r="118" spans="1:24" ht="15" customHeight="1" x14ac:dyDescent="0.3">
      <c r="A118" s="2">
        <f>Roster!A118</f>
        <v>117</v>
      </c>
      <c r="B118" s="2">
        <f>Roster!C118</f>
        <v>0</v>
      </c>
      <c r="C118" s="2">
        <f>IF(COUNTIF(Roster!$D118:$M118,C$1)&gt;0,$B118,0)</f>
        <v>0</v>
      </c>
      <c r="D118" s="2">
        <f>IF(COUNTIF(Roster!$D118:$M118,D$1)&gt;0,$B118,0)</f>
        <v>0</v>
      </c>
      <c r="E118" s="2">
        <f>IF(COUNTIF(Roster!$D118:$M118,E$1)&gt;0,$B118,0)</f>
        <v>0</v>
      </c>
      <c r="F118" s="2">
        <f>IF(COUNTIF(Roster!$D118:$M118,F$1)&gt;0,$B118,0)</f>
        <v>0</v>
      </c>
      <c r="G118" s="2">
        <f>IF(COUNTIF(Roster!$D118:$M118,G$1)&gt;0,$B118,0)</f>
        <v>0</v>
      </c>
      <c r="H118" s="2">
        <f>IF(COUNTIF(Roster!$D118:$M118,H$1)&gt;0,$B118,0)</f>
        <v>0</v>
      </c>
      <c r="I118" s="2">
        <f>IF(COUNTIF(Roster!$D118:$M118,I$1)&gt;0,$B118,0)</f>
        <v>0</v>
      </c>
      <c r="J118" s="2">
        <f>IF(COUNTIF(Roster!$D118:$M118,J$1)&gt;0,$B118,0)</f>
        <v>0</v>
      </c>
      <c r="K118" s="2">
        <f>IF(COUNTIF(Roster!$D118:$M118,K$1)&gt;0,$B118,0)</f>
        <v>0</v>
      </c>
      <c r="L118" s="2">
        <f>IF(COUNTIF(Roster!$D118:$M118,L$1)&gt;0,$B118,0)</f>
        <v>0</v>
      </c>
      <c r="M118" s="2">
        <f>IF(COUNTIF(Roster!$D118:$M118,M$1)&gt;0,$B118,0)</f>
        <v>0</v>
      </c>
      <c r="N118" s="2">
        <f>IF(COUNTIF(Roster!$D118:$M118,N$1)&gt;0,$B118,0)</f>
        <v>0</v>
      </c>
      <c r="O118" s="2">
        <f>IF(COUNTIF(Roster!$D118:$M118,O$1)&gt;0,$B118,0)</f>
        <v>0</v>
      </c>
      <c r="P118" s="2">
        <f>IF(COUNTIF(Roster!$D118:$M118,P$1)&gt;0,$B118,0)</f>
        <v>0</v>
      </c>
      <c r="Q118" s="2">
        <f>IF(COUNTIF(Roster!$D118:$M118,Q$1)&gt;0,$B118,0)</f>
        <v>0</v>
      </c>
      <c r="R118" s="2">
        <f>IF(COUNTIF(Roster!$D118:$M118,R$1)&gt;0,$B118,0)</f>
        <v>0</v>
      </c>
      <c r="S118" s="2">
        <f>IF(COUNTIF(Roster!$D118:$M118,S$1)&gt;0,$B118,0)</f>
        <v>0</v>
      </c>
      <c r="T118" s="2">
        <f>IF(COUNTIF(Roster!$D118:$M118,T$1)&gt;0,$B118,0)</f>
        <v>0</v>
      </c>
      <c r="U118" s="2">
        <f>IF(COUNTIF(Roster!$D118:$M118,U$1)&gt;0,$B118,0)</f>
        <v>0</v>
      </c>
      <c r="V118" s="2">
        <f>IF(COUNTIF(Roster!$D118:$M118,V$1)&gt;0,$B118,0)</f>
        <v>0</v>
      </c>
      <c r="W118" s="2">
        <f>IF(COUNTIF(Roster!$D118:$M118,W$1)&gt;0,$B118,0)</f>
        <v>0</v>
      </c>
      <c r="X118" s="2">
        <f t="shared" si="1"/>
        <v>0</v>
      </c>
    </row>
    <row r="119" spans="1:24" ht="15" customHeight="1" x14ac:dyDescent="0.3">
      <c r="A119" s="2">
        <f>Roster!A119</f>
        <v>118</v>
      </c>
      <c r="B119" s="2">
        <f>Roster!C119</f>
        <v>0</v>
      </c>
      <c r="C119" s="2">
        <f>IF(COUNTIF(Roster!$D119:$M119,C$1)&gt;0,$B119,0)</f>
        <v>0</v>
      </c>
      <c r="D119" s="2">
        <f>IF(COUNTIF(Roster!$D119:$M119,D$1)&gt;0,$B119,0)</f>
        <v>0</v>
      </c>
      <c r="E119" s="2">
        <f>IF(COUNTIF(Roster!$D119:$M119,E$1)&gt;0,$B119,0)</f>
        <v>0</v>
      </c>
      <c r="F119" s="2">
        <f>IF(COUNTIF(Roster!$D119:$M119,F$1)&gt;0,$B119,0)</f>
        <v>0</v>
      </c>
      <c r="G119" s="2">
        <f>IF(COUNTIF(Roster!$D119:$M119,G$1)&gt;0,$B119,0)</f>
        <v>0</v>
      </c>
      <c r="H119" s="2">
        <f>IF(COUNTIF(Roster!$D119:$M119,H$1)&gt;0,$B119,0)</f>
        <v>0</v>
      </c>
      <c r="I119" s="2">
        <f>IF(COUNTIF(Roster!$D119:$M119,I$1)&gt;0,$B119,0)</f>
        <v>0</v>
      </c>
      <c r="J119" s="2">
        <f>IF(COUNTIF(Roster!$D119:$M119,J$1)&gt;0,$B119,0)</f>
        <v>0</v>
      </c>
      <c r="K119" s="2">
        <f>IF(COUNTIF(Roster!$D119:$M119,K$1)&gt;0,$B119,0)</f>
        <v>0</v>
      </c>
      <c r="L119" s="2">
        <f>IF(COUNTIF(Roster!$D119:$M119,L$1)&gt;0,$B119,0)</f>
        <v>0</v>
      </c>
      <c r="M119" s="2">
        <f>IF(COUNTIF(Roster!$D119:$M119,M$1)&gt;0,$B119,0)</f>
        <v>0</v>
      </c>
      <c r="N119" s="2">
        <f>IF(COUNTIF(Roster!$D119:$M119,N$1)&gt;0,$B119,0)</f>
        <v>0</v>
      </c>
      <c r="O119" s="2">
        <f>IF(COUNTIF(Roster!$D119:$M119,O$1)&gt;0,$B119,0)</f>
        <v>0</v>
      </c>
      <c r="P119" s="2">
        <f>IF(COUNTIF(Roster!$D119:$M119,P$1)&gt;0,$B119,0)</f>
        <v>0</v>
      </c>
      <c r="Q119" s="2">
        <f>IF(COUNTIF(Roster!$D119:$M119,Q$1)&gt;0,$B119,0)</f>
        <v>0</v>
      </c>
      <c r="R119" s="2">
        <f>IF(COUNTIF(Roster!$D119:$M119,R$1)&gt;0,$B119,0)</f>
        <v>0</v>
      </c>
      <c r="S119" s="2">
        <f>IF(COUNTIF(Roster!$D119:$M119,S$1)&gt;0,$B119,0)</f>
        <v>0</v>
      </c>
      <c r="T119" s="2">
        <f>IF(COUNTIF(Roster!$D119:$M119,T$1)&gt;0,$B119,0)</f>
        <v>0</v>
      </c>
      <c r="U119" s="2">
        <f>IF(COUNTIF(Roster!$D119:$M119,U$1)&gt;0,$B119,0)</f>
        <v>0</v>
      </c>
      <c r="V119" s="2">
        <f>IF(COUNTIF(Roster!$D119:$M119,V$1)&gt;0,$B119,0)</f>
        <v>0</v>
      </c>
      <c r="W119" s="2">
        <f>IF(COUNTIF(Roster!$D119:$M119,W$1)&gt;0,$B119,0)</f>
        <v>0</v>
      </c>
      <c r="X119" s="2">
        <f t="shared" si="1"/>
        <v>0</v>
      </c>
    </row>
    <row r="120" spans="1:24" ht="15" customHeight="1" x14ac:dyDescent="0.3">
      <c r="A120" s="2">
        <f>Roster!A120</f>
        <v>119</v>
      </c>
      <c r="B120" s="2">
        <f>Roster!C120</f>
        <v>0</v>
      </c>
      <c r="C120" s="2">
        <f>IF(COUNTIF(Roster!$D120:$M120,C$1)&gt;0,$B120,0)</f>
        <v>0</v>
      </c>
      <c r="D120" s="2">
        <f>IF(COUNTIF(Roster!$D120:$M120,D$1)&gt;0,$B120,0)</f>
        <v>0</v>
      </c>
      <c r="E120" s="2">
        <f>IF(COUNTIF(Roster!$D120:$M120,E$1)&gt;0,$B120,0)</f>
        <v>0</v>
      </c>
      <c r="F120" s="2">
        <f>IF(COUNTIF(Roster!$D120:$M120,F$1)&gt;0,$B120,0)</f>
        <v>0</v>
      </c>
      <c r="G120" s="2">
        <f>IF(COUNTIF(Roster!$D120:$M120,G$1)&gt;0,$B120,0)</f>
        <v>0</v>
      </c>
      <c r="H120" s="2">
        <f>IF(COUNTIF(Roster!$D120:$M120,H$1)&gt;0,$B120,0)</f>
        <v>0</v>
      </c>
      <c r="I120" s="2">
        <f>IF(COUNTIF(Roster!$D120:$M120,I$1)&gt;0,$B120,0)</f>
        <v>0</v>
      </c>
      <c r="J120" s="2">
        <f>IF(COUNTIF(Roster!$D120:$M120,J$1)&gt;0,$B120,0)</f>
        <v>0</v>
      </c>
      <c r="K120" s="2">
        <f>IF(COUNTIF(Roster!$D120:$M120,K$1)&gt;0,$B120,0)</f>
        <v>0</v>
      </c>
      <c r="L120" s="2">
        <f>IF(COUNTIF(Roster!$D120:$M120,L$1)&gt;0,$B120,0)</f>
        <v>0</v>
      </c>
      <c r="M120" s="2">
        <f>IF(COUNTIF(Roster!$D120:$M120,M$1)&gt;0,$B120,0)</f>
        <v>0</v>
      </c>
      <c r="N120" s="2">
        <f>IF(COUNTIF(Roster!$D120:$M120,N$1)&gt;0,$B120,0)</f>
        <v>0</v>
      </c>
      <c r="O120" s="2">
        <f>IF(COUNTIF(Roster!$D120:$M120,O$1)&gt;0,$B120,0)</f>
        <v>0</v>
      </c>
      <c r="P120" s="2">
        <f>IF(COUNTIF(Roster!$D120:$M120,P$1)&gt;0,$B120,0)</f>
        <v>0</v>
      </c>
      <c r="Q120" s="2">
        <f>IF(COUNTIF(Roster!$D120:$M120,Q$1)&gt;0,$B120,0)</f>
        <v>0</v>
      </c>
      <c r="R120" s="2">
        <f>IF(COUNTIF(Roster!$D120:$M120,R$1)&gt;0,$B120,0)</f>
        <v>0</v>
      </c>
      <c r="S120" s="2">
        <f>IF(COUNTIF(Roster!$D120:$M120,S$1)&gt;0,$B120,0)</f>
        <v>0</v>
      </c>
      <c r="T120" s="2">
        <f>IF(COUNTIF(Roster!$D120:$M120,T$1)&gt;0,$B120,0)</f>
        <v>0</v>
      </c>
      <c r="U120" s="2">
        <f>IF(COUNTIF(Roster!$D120:$M120,U$1)&gt;0,$B120,0)</f>
        <v>0</v>
      </c>
      <c r="V120" s="2">
        <f>IF(COUNTIF(Roster!$D120:$M120,V$1)&gt;0,$B120,0)</f>
        <v>0</v>
      </c>
      <c r="W120" s="2">
        <f>IF(COUNTIF(Roster!$D120:$M120,W$1)&gt;0,$B120,0)</f>
        <v>0</v>
      </c>
      <c r="X120" s="2">
        <f t="shared" si="1"/>
        <v>0</v>
      </c>
    </row>
    <row r="121" spans="1:24" ht="15" customHeight="1" x14ac:dyDescent="0.3">
      <c r="A121" s="2">
        <f>Roster!A121</f>
        <v>120</v>
      </c>
      <c r="B121" s="2">
        <f>Roster!C121</f>
        <v>0</v>
      </c>
      <c r="C121" s="2">
        <f>IF(COUNTIF(Roster!$D121:$M121,C$1)&gt;0,$B121,0)</f>
        <v>0</v>
      </c>
      <c r="D121" s="2">
        <f>IF(COUNTIF(Roster!$D121:$M121,D$1)&gt;0,$B121,0)</f>
        <v>0</v>
      </c>
      <c r="E121" s="2">
        <f>IF(COUNTIF(Roster!$D121:$M121,E$1)&gt;0,$B121,0)</f>
        <v>0</v>
      </c>
      <c r="F121" s="2">
        <f>IF(COUNTIF(Roster!$D121:$M121,F$1)&gt;0,$B121,0)</f>
        <v>0</v>
      </c>
      <c r="G121" s="2">
        <f>IF(COUNTIF(Roster!$D121:$M121,G$1)&gt;0,$B121,0)</f>
        <v>0</v>
      </c>
      <c r="H121" s="2">
        <f>IF(COUNTIF(Roster!$D121:$M121,H$1)&gt;0,$B121,0)</f>
        <v>0</v>
      </c>
      <c r="I121" s="2">
        <f>IF(COUNTIF(Roster!$D121:$M121,I$1)&gt;0,$B121,0)</f>
        <v>0</v>
      </c>
      <c r="J121" s="2">
        <f>IF(COUNTIF(Roster!$D121:$M121,J$1)&gt;0,$B121,0)</f>
        <v>0</v>
      </c>
      <c r="K121" s="2">
        <f>IF(COUNTIF(Roster!$D121:$M121,K$1)&gt;0,$B121,0)</f>
        <v>0</v>
      </c>
      <c r="L121" s="2">
        <f>IF(COUNTIF(Roster!$D121:$M121,L$1)&gt;0,$B121,0)</f>
        <v>0</v>
      </c>
      <c r="M121" s="2">
        <f>IF(COUNTIF(Roster!$D121:$M121,M$1)&gt;0,$B121,0)</f>
        <v>0</v>
      </c>
      <c r="N121" s="2">
        <f>IF(COUNTIF(Roster!$D121:$M121,N$1)&gt;0,$B121,0)</f>
        <v>0</v>
      </c>
      <c r="O121" s="2">
        <f>IF(COUNTIF(Roster!$D121:$M121,O$1)&gt;0,$B121,0)</f>
        <v>0</v>
      </c>
      <c r="P121" s="2">
        <f>IF(COUNTIF(Roster!$D121:$M121,P$1)&gt;0,$B121,0)</f>
        <v>0</v>
      </c>
      <c r="Q121" s="2">
        <f>IF(COUNTIF(Roster!$D121:$M121,Q$1)&gt;0,$B121,0)</f>
        <v>0</v>
      </c>
      <c r="R121" s="2">
        <f>IF(COUNTIF(Roster!$D121:$M121,R$1)&gt;0,$B121,0)</f>
        <v>0</v>
      </c>
      <c r="S121" s="2">
        <f>IF(COUNTIF(Roster!$D121:$M121,S$1)&gt;0,$B121,0)</f>
        <v>0</v>
      </c>
      <c r="T121" s="2">
        <f>IF(COUNTIF(Roster!$D121:$M121,T$1)&gt;0,$B121,0)</f>
        <v>0</v>
      </c>
      <c r="U121" s="2">
        <f>IF(COUNTIF(Roster!$D121:$M121,U$1)&gt;0,$B121,0)</f>
        <v>0</v>
      </c>
      <c r="V121" s="2">
        <f>IF(COUNTIF(Roster!$D121:$M121,V$1)&gt;0,$B121,0)</f>
        <v>0</v>
      </c>
      <c r="W121" s="2">
        <f>IF(COUNTIF(Roster!$D121:$M121,W$1)&gt;0,$B121,0)</f>
        <v>0</v>
      </c>
      <c r="X121" s="2">
        <f t="shared" si="1"/>
        <v>0</v>
      </c>
    </row>
    <row r="122" spans="1:24" ht="15" customHeight="1" x14ac:dyDescent="0.3">
      <c r="A122" s="2">
        <f>Roster!A122</f>
        <v>121</v>
      </c>
      <c r="B122" s="2">
        <f>Roster!C122</f>
        <v>0</v>
      </c>
      <c r="C122" s="2">
        <f>IF(COUNTIF(Roster!$D122:$M122,C$1)&gt;0,$B122,0)</f>
        <v>0</v>
      </c>
      <c r="D122" s="2">
        <f>IF(COUNTIF(Roster!$D122:$M122,D$1)&gt;0,$B122,0)</f>
        <v>0</v>
      </c>
      <c r="E122" s="2">
        <f>IF(COUNTIF(Roster!$D122:$M122,E$1)&gt;0,$B122,0)</f>
        <v>0</v>
      </c>
      <c r="F122" s="2">
        <f>IF(COUNTIF(Roster!$D122:$M122,F$1)&gt;0,$B122,0)</f>
        <v>0</v>
      </c>
      <c r="G122" s="2">
        <f>IF(COUNTIF(Roster!$D122:$M122,G$1)&gt;0,$B122,0)</f>
        <v>0</v>
      </c>
      <c r="H122" s="2">
        <f>IF(COUNTIF(Roster!$D122:$M122,H$1)&gt;0,$B122,0)</f>
        <v>0</v>
      </c>
      <c r="I122" s="2">
        <f>IF(COUNTIF(Roster!$D122:$M122,I$1)&gt;0,$B122,0)</f>
        <v>0</v>
      </c>
      <c r="J122" s="2">
        <f>IF(COUNTIF(Roster!$D122:$M122,J$1)&gt;0,$B122,0)</f>
        <v>0</v>
      </c>
      <c r="K122" s="2">
        <f>IF(COUNTIF(Roster!$D122:$M122,K$1)&gt;0,$B122,0)</f>
        <v>0</v>
      </c>
      <c r="L122" s="2">
        <f>IF(COUNTIF(Roster!$D122:$M122,L$1)&gt;0,$B122,0)</f>
        <v>0</v>
      </c>
      <c r="M122" s="2">
        <f>IF(COUNTIF(Roster!$D122:$M122,M$1)&gt;0,$B122,0)</f>
        <v>0</v>
      </c>
      <c r="N122" s="2">
        <f>IF(COUNTIF(Roster!$D122:$M122,N$1)&gt;0,$B122,0)</f>
        <v>0</v>
      </c>
      <c r="O122" s="2">
        <f>IF(COUNTIF(Roster!$D122:$M122,O$1)&gt;0,$B122,0)</f>
        <v>0</v>
      </c>
      <c r="P122" s="2">
        <f>IF(COUNTIF(Roster!$D122:$M122,P$1)&gt;0,$B122,0)</f>
        <v>0</v>
      </c>
      <c r="Q122" s="2">
        <f>IF(COUNTIF(Roster!$D122:$M122,Q$1)&gt;0,$B122,0)</f>
        <v>0</v>
      </c>
      <c r="R122" s="2">
        <f>IF(COUNTIF(Roster!$D122:$M122,R$1)&gt;0,$B122,0)</f>
        <v>0</v>
      </c>
      <c r="S122" s="2">
        <f>IF(COUNTIF(Roster!$D122:$M122,S$1)&gt;0,$B122,0)</f>
        <v>0</v>
      </c>
      <c r="T122" s="2">
        <f>IF(COUNTIF(Roster!$D122:$M122,T$1)&gt;0,$B122,0)</f>
        <v>0</v>
      </c>
      <c r="U122" s="2">
        <f>IF(COUNTIF(Roster!$D122:$M122,U$1)&gt;0,$B122,0)</f>
        <v>0</v>
      </c>
      <c r="V122" s="2">
        <f>IF(COUNTIF(Roster!$D122:$M122,V$1)&gt;0,$B122,0)</f>
        <v>0</v>
      </c>
      <c r="W122" s="2">
        <f>IF(COUNTIF(Roster!$D122:$M122,W$1)&gt;0,$B122,0)</f>
        <v>0</v>
      </c>
      <c r="X122" s="2">
        <f t="shared" si="1"/>
        <v>0</v>
      </c>
    </row>
    <row r="123" spans="1:24" ht="15" customHeight="1" x14ac:dyDescent="0.3">
      <c r="A123" s="2">
        <f>Roster!A123</f>
        <v>122</v>
      </c>
      <c r="B123" s="2">
        <f>Roster!C123</f>
        <v>0</v>
      </c>
      <c r="C123" s="2">
        <f>IF(COUNTIF(Roster!$D123:$M123,C$1)&gt;0,$B123,0)</f>
        <v>0</v>
      </c>
      <c r="D123" s="2">
        <f>IF(COUNTIF(Roster!$D123:$M123,D$1)&gt;0,$B123,0)</f>
        <v>0</v>
      </c>
      <c r="E123" s="2">
        <f>IF(COUNTIF(Roster!$D123:$M123,E$1)&gt;0,$B123,0)</f>
        <v>0</v>
      </c>
      <c r="F123" s="2">
        <f>IF(COUNTIF(Roster!$D123:$M123,F$1)&gt;0,$B123,0)</f>
        <v>0</v>
      </c>
      <c r="G123" s="2">
        <f>IF(COUNTIF(Roster!$D123:$M123,G$1)&gt;0,$B123,0)</f>
        <v>0</v>
      </c>
      <c r="H123" s="2">
        <f>IF(COUNTIF(Roster!$D123:$M123,H$1)&gt;0,$B123,0)</f>
        <v>0</v>
      </c>
      <c r="I123" s="2">
        <f>IF(COUNTIF(Roster!$D123:$M123,I$1)&gt;0,$B123,0)</f>
        <v>0</v>
      </c>
      <c r="J123" s="2">
        <f>IF(COUNTIF(Roster!$D123:$M123,J$1)&gt;0,$B123,0)</f>
        <v>0</v>
      </c>
      <c r="K123" s="2">
        <f>IF(COUNTIF(Roster!$D123:$M123,K$1)&gt;0,$B123,0)</f>
        <v>0</v>
      </c>
      <c r="L123" s="2">
        <f>IF(COUNTIF(Roster!$D123:$M123,L$1)&gt;0,$B123,0)</f>
        <v>0</v>
      </c>
      <c r="M123" s="2">
        <f>IF(COUNTIF(Roster!$D123:$M123,M$1)&gt;0,$B123,0)</f>
        <v>0</v>
      </c>
      <c r="N123" s="2">
        <f>IF(COUNTIF(Roster!$D123:$M123,N$1)&gt;0,$B123,0)</f>
        <v>0</v>
      </c>
      <c r="O123" s="2">
        <f>IF(COUNTIF(Roster!$D123:$M123,O$1)&gt;0,$B123,0)</f>
        <v>0</v>
      </c>
      <c r="P123" s="2">
        <f>IF(COUNTIF(Roster!$D123:$M123,P$1)&gt;0,$B123,0)</f>
        <v>0</v>
      </c>
      <c r="Q123" s="2">
        <f>IF(COUNTIF(Roster!$D123:$M123,Q$1)&gt;0,$B123,0)</f>
        <v>0</v>
      </c>
      <c r="R123" s="2">
        <f>IF(COUNTIF(Roster!$D123:$M123,R$1)&gt;0,$B123,0)</f>
        <v>0</v>
      </c>
      <c r="S123" s="2">
        <f>IF(COUNTIF(Roster!$D123:$M123,S$1)&gt;0,$B123,0)</f>
        <v>0</v>
      </c>
      <c r="T123" s="2">
        <f>IF(COUNTIF(Roster!$D123:$M123,T$1)&gt;0,$B123,0)</f>
        <v>0</v>
      </c>
      <c r="U123" s="2">
        <f>IF(COUNTIF(Roster!$D123:$M123,U$1)&gt;0,$B123,0)</f>
        <v>0</v>
      </c>
      <c r="V123" s="2">
        <f>IF(COUNTIF(Roster!$D123:$M123,V$1)&gt;0,$B123,0)</f>
        <v>0</v>
      </c>
      <c r="W123" s="2">
        <f>IF(COUNTIF(Roster!$D123:$M123,W$1)&gt;0,$B123,0)</f>
        <v>0</v>
      </c>
      <c r="X123" s="2">
        <f t="shared" si="1"/>
        <v>0</v>
      </c>
    </row>
    <row r="124" spans="1:24" ht="15" customHeight="1" x14ac:dyDescent="0.3">
      <c r="A124" s="2">
        <f>Roster!A124</f>
        <v>123</v>
      </c>
      <c r="B124" s="2">
        <f>Roster!C124</f>
        <v>0</v>
      </c>
      <c r="C124" s="2">
        <f>IF(COUNTIF(Roster!$D124:$M124,C$1)&gt;0,$B124,0)</f>
        <v>0</v>
      </c>
      <c r="D124" s="2">
        <f>IF(COUNTIF(Roster!$D124:$M124,D$1)&gt;0,$B124,0)</f>
        <v>0</v>
      </c>
      <c r="E124" s="2">
        <f>IF(COUNTIF(Roster!$D124:$M124,E$1)&gt;0,$B124,0)</f>
        <v>0</v>
      </c>
      <c r="F124" s="2">
        <f>IF(COUNTIF(Roster!$D124:$M124,F$1)&gt;0,$B124,0)</f>
        <v>0</v>
      </c>
      <c r="G124" s="2">
        <f>IF(COUNTIF(Roster!$D124:$M124,G$1)&gt;0,$B124,0)</f>
        <v>0</v>
      </c>
      <c r="H124" s="2">
        <f>IF(COUNTIF(Roster!$D124:$M124,H$1)&gt;0,$B124,0)</f>
        <v>0</v>
      </c>
      <c r="I124" s="2">
        <f>IF(COUNTIF(Roster!$D124:$M124,I$1)&gt;0,$B124,0)</f>
        <v>0</v>
      </c>
      <c r="J124" s="2">
        <f>IF(COUNTIF(Roster!$D124:$M124,J$1)&gt;0,$B124,0)</f>
        <v>0</v>
      </c>
      <c r="K124" s="2">
        <f>IF(COUNTIF(Roster!$D124:$M124,K$1)&gt;0,$B124,0)</f>
        <v>0</v>
      </c>
      <c r="L124" s="2">
        <f>IF(COUNTIF(Roster!$D124:$M124,L$1)&gt;0,$B124,0)</f>
        <v>0</v>
      </c>
      <c r="M124" s="2">
        <f>IF(COUNTIF(Roster!$D124:$M124,M$1)&gt;0,$B124,0)</f>
        <v>0</v>
      </c>
      <c r="N124" s="2">
        <f>IF(COUNTIF(Roster!$D124:$M124,N$1)&gt;0,$B124,0)</f>
        <v>0</v>
      </c>
      <c r="O124" s="2">
        <f>IF(COUNTIF(Roster!$D124:$M124,O$1)&gt;0,$B124,0)</f>
        <v>0</v>
      </c>
      <c r="P124" s="2">
        <f>IF(COUNTIF(Roster!$D124:$M124,P$1)&gt;0,$B124,0)</f>
        <v>0</v>
      </c>
      <c r="Q124" s="2">
        <f>IF(COUNTIF(Roster!$D124:$M124,Q$1)&gt;0,$B124,0)</f>
        <v>0</v>
      </c>
      <c r="R124" s="2">
        <f>IF(COUNTIF(Roster!$D124:$M124,R$1)&gt;0,$B124,0)</f>
        <v>0</v>
      </c>
      <c r="S124" s="2">
        <f>IF(COUNTIF(Roster!$D124:$M124,S$1)&gt;0,$B124,0)</f>
        <v>0</v>
      </c>
      <c r="T124" s="2">
        <f>IF(COUNTIF(Roster!$D124:$M124,T$1)&gt;0,$B124,0)</f>
        <v>0</v>
      </c>
      <c r="U124" s="2">
        <f>IF(COUNTIF(Roster!$D124:$M124,U$1)&gt;0,$B124,0)</f>
        <v>0</v>
      </c>
      <c r="V124" s="2">
        <f>IF(COUNTIF(Roster!$D124:$M124,V$1)&gt;0,$B124,0)</f>
        <v>0</v>
      </c>
      <c r="W124" s="2">
        <f>IF(COUNTIF(Roster!$D124:$M124,W$1)&gt;0,$B124,0)</f>
        <v>0</v>
      </c>
      <c r="X124" s="2">
        <f t="shared" si="1"/>
        <v>0</v>
      </c>
    </row>
    <row r="125" spans="1:24" ht="15" customHeight="1" x14ac:dyDescent="0.3">
      <c r="A125" s="2">
        <f>Roster!A125</f>
        <v>124</v>
      </c>
      <c r="B125" s="2">
        <f>Roster!C125</f>
        <v>0</v>
      </c>
      <c r="C125" s="2">
        <f>IF(COUNTIF(Roster!$D125:$M125,C$1)&gt;0,$B125,0)</f>
        <v>0</v>
      </c>
      <c r="D125" s="2">
        <f>IF(COUNTIF(Roster!$D125:$M125,D$1)&gt;0,$B125,0)</f>
        <v>0</v>
      </c>
      <c r="E125" s="2">
        <f>IF(COUNTIF(Roster!$D125:$M125,E$1)&gt;0,$B125,0)</f>
        <v>0</v>
      </c>
      <c r="F125" s="2">
        <f>IF(COUNTIF(Roster!$D125:$M125,F$1)&gt;0,$B125,0)</f>
        <v>0</v>
      </c>
      <c r="G125" s="2">
        <f>IF(COUNTIF(Roster!$D125:$M125,G$1)&gt;0,$B125,0)</f>
        <v>0</v>
      </c>
      <c r="H125" s="2">
        <f>IF(COUNTIF(Roster!$D125:$M125,H$1)&gt;0,$B125,0)</f>
        <v>0</v>
      </c>
      <c r="I125" s="2">
        <f>IF(COUNTIF(Roster!$D125:$M125,I$1)&gt;0,$B125,0)</f>
        <v>0</v>
      </c>
      <c r="J125" s="2">
        <f>IF(COUNTIF(Roster!$D125:$M125,J$1)&gt;0,$B125,0)</f>
        <v>0</v>
      </c>
      <c r="K125" s="2">
        <f>IF(COUNTIF(Roster!$D125:$M125,K$1)&gt;0,$B125,0)</f>
        <v>0</v>
      </c>
      <c r="L125" s="2">
        <f>IF(COUNTIF(Roster!$D125:$M125,L$1)&gt;0,$B125,0)</f>
        <v>0</v>
      </c>
      <c r="M125" s="2">
        <f>IF(COUNTIF(Roster!$D125:$M125,M$1)&gt;0,$B125,0)</f>
        <v>0</v>
      </c>
      <c r="N125" s="2">
        <f>IF(COUNTIF(Roster!$D125:$M125,N$1)&gt;0,$B125,0)</f>
        <v>0</v>
      </c>
      <c r="O125" s="2">
        <f>IF(COUNTIF(Roster!$D125:$M125,O$1)&gt;0,$B125,0)</f>
        <v>0</v>
      </c>
      <c r="P125" s="2">
        <f>IF(COUNTIF(Roster!$D125:$M125,P$1)&gt;0,$B125,0)</f>
        <v>0</v>
      </c>
      <c r="Q125" s="2">
        <f>IF(COUNTIF(Roster!$D125:$M125,Q$1)&gt;0,$B125,0)</f>
        <v>0</v>
      </c>
      <c r="R125" s="2">
        <f>IF(COUNTIF(Roster!$D125:$M125,R$1)&gt;0,$B125,0)</f>
        <v>0</v>
      </c>
      <c r="S125" s="2">
        <f>IF(COUNTIF(Roster!$D125:$M125,S$1)&gt;0,$B125,0)</f>
        <v>0</v>
      </c>
      <c r="T125" s="2">
        <f>IF(COUNTIF(Roster!$D125:$M125,T$1)&gt;0,$B125,0)</f>
        <v>0</v>
      </c>
      <c r="U125" s="2">
        <f>IF(COUNTIF(Roster!$D125:$M125,U$1)&gt;0,$B125,0)</f>
        <v>0</v>
      </c>
      <c r="V125" s="2">
        <f>IF(COUNTIF(Roster!$D125:$M125,V$1)&gt;0,$B125,0)</f>
        <v>0</v>
      </c>
      <c r="W125" s="2">
        <f>IF(COUNTIF(Roster!$D125:$M125,W$1)&gt;0,$B125,0)</f>
        <v>0</v>
      </c>
      <c r="X125" s="2">
        <f t="shared" si="1"/>
        <v>0</v>
      </c>
    </row>
    <row r="126" spans="1:24" ht="15" customHeight="1" x14ac:dyDescent="0.3">
      <c r="A126" s="2">
        <f>Roster!A126</f>
        <v>125</v>
      </c>
      <c r="B126" s="2">
        <f>Roster!C126</f>
        <v>0</v>
      </c>
      <c r="C126" s="2">
        <f>IF(COUNTIF(Roster!$D126:$M126,C$1)&gt;0,$B126,0)</f>
        <v>0</v>
      </c>
      <c r="D126" s="2">
        <f>IF(COUNTIF(Roster!$D126:$M126,D$1)&gt;0,$B126,0)</f>
        <v>0</v>
      </c>
      <c r="E126" s="2">
        <f>IF(COUNTIF(Roster!$D126:$M126,E$1)&gt;0,$B126,0)</f>
        <v>0</v>
      </c>
      <c r="F126" s="2">
        <f>IF(COUNTIF(Roster!$D126:$M126,F$1)&gt;0,$B126,0)</f>
        <v>0</v>
      </c>
      <c r="G126" s="2">
        <f>IF(COUNTIF(Roster!$D126:$M126,G$1)&gt;0,$B126,0)</f>
        <v>0</v>
      </c>
      <c r="H126" s="2">
        <f>IF(COUNTIF(Roster!$D126:$M126,H$1)&gt;0,$B126,0)</f>
        <v>0</v>
      </c>
      <c r="I126" s="2">
        <f>IF(COUNTIF(Roster!$D126:$M126,I$1)&gt;0,$B126,0)</f>
        <v>0</v>
      </c>
      <c r="J126" s="2">
        <f>IF(COUNTIF(Roster!$D126:$M126,J$1)&gt;0,$B126,0)</f>
        <v>0</v>
      </c>
      <c r="K126" s="2">
        <f>IF(COUNTIF(Roster!$D126:$M126,K$1)&gt;0,$B126,0)</f>
        <v>0</v>
      </c>
      <c r="L126" s="2">
        <f>IF(COUNTIF(Roster!$D126:$M126,L$1)&gt;0,$B126,0)</f>
        <v>0</v>
      </c>
      <c r="M126" s="2">
        <f>IF(COUNTIF(Roster!$D126:$M126,M$1)&gt;0,$B126,0)</f>
        <v>0</v>
      </c>
      <c r="N126" s="2">
        <f>IF(COUNTIF(Roster!$D126:$M126,N$1)&gt;0,$B126,0)</f>
        <v>0</v>
      </c>
      <c r="O126" s="2">
        <f>IF(COUNTIF(Roster!$D126:$M126,O$1)&gt;0,$B126,0)</f>
        <v>0</v>
      </c>
      <c r="P126" s="2">
        <f>IF(COUNTIF(Roster!$D126:$M126,P$1)&gt;0,$B126,0)</f>
        <v>0</v>
      </c>
      <c r="Q126" s="2">
        <f>IF(COUNTIF(Roster!$D126:$M126,Q$1)&gt;0,$B126,0)</f>
        <v>0</v>
      </c>
      <c r="R126" s="2">
        <f>IF(COUNTIF(Roster!$D126:$M126,R$1)&gt;0,$B126,0)</f>
        <v>0</v>
      </c>
      <c r="S126" s="2">
        <f>IF(COUNTIF(Roster!$D126:$M126,S$1)&gt;0,$B126,0)</f>
        <v>0</v>
      </c>
      <c r="T126" s="2">
        <f>IF(COUNTIF(Roster!$D126:$M126,T$1)&gt;0,$B126,0)</f>
        <v>0</v>
      </c>
      <c r="U126" s="2">
        <f>IF(COUNTIF(Roster!$D126:$M126,U$1)&gt;0,$B126,0)</f>
        <v>0</v>
      </c>
      <c r="V126" s="2">
        <f>IF(COUNTIF(Roster!$D126:$M126,V$1)&gt;0,$B126,0)</f>
        <v>0</v>
      </c>
      <c r="W126" s="2">
        <f>IF(COUNTIF(Roster!$D126:$M126,W$1)&gt;0,$B126,0)</f>
        <v>0</v>
      </c>
      <c r="X126" s="2">
        <f t="shared" si="1"/>
        <v>0</v>
      </c>
    </row>
    <row r="127" spans="1:24" ht="15" customHeight="1" x14ac:dyDescent="0.3">
      <c r="A127" s="2">
        <f>Roster!A127</f>
        <v>126</v>
      </c>
      <c r="B127" s="2">
        <f>Roster!C127</f>
        <v>0</v>
      </c>
      <c r="C127" s="2">
        <f>IF(COUNTIF(Roster!$D127:$M127,C$1)&gt;0,$B127,0)</f>
        <v>0</v>
      </c>
      <c r="D127" s="2">
        <f>IF(COUNTIF(Roster!$D127:$M127,D$1)&gt;0,$B127,0)</f>
        <v>0</v>
      </c>
      <c r="E127" s="2">
        <f>IF(COUNTIF(Roster!$D127:$M127,E$1)&gt;0,$B127,0)</f>
        <v>0</v>
      </c>
      <c r="F127" s="2">
        <f>IF(COUNTIF(Roster!$D127:$M127,F$1)&gt;0,$B127,0)</f>
        <v>0</v>
      </c>
      <c r="G127" s="2">
        <f>IF(COUNTIF(Roster!$D127:$M127,G$1)&gt;0,$B127,0)</f>
        <v>0</v>
      </c>
      <c r="H127" s="2">
        <f>IF(COUNTIF(Roster!$D127:$M127,H$1)&gt;0,$B127,0)</f>
        <v>0</v>
      </c>
      <c r="I127" s="2">
        <f>IF(COUNTIF(Roster!$D127:$M127,I$1)&gt;0,$B127,0)</f>
        <v>0</v>
      </c>
      <c r="J127" s="2">
        <f>IF(COUNTIF(Roster!$D127:$M127,J$1)&gt;0,$B127,0)</f>
        <v>0</v>
      </c>
      <c r="K127" s="2">
        <f>IF(COUNTIF(Roster!$D127:$M127,K$1)&gt;0,$B127,0)</f>
        <v>0</v>
      </c>
      <c r="L127" s="2">
        <f>IF(COUNTIF(Roster!$D127:$M127,L$1)&gt;0,$B127,0)</f>
        <v>0</v>
      </c>
      <c r="M127" s="2">
        <f>IF(COUNTIF(Roster!$D127:$M127,M$1)&gt;0,$B127,0)</f>
        <v>0</v>
      </c>
      <c r="N127" s="2">
        <f>IF(COUNTIF(Roster!$D127:$M127,N$1)&gt;0,$B127,0)</f>
        <v>0</v>
      </c>
      <c r="O127" s="2">
        <f>IF(COUNTIF(Roster!$D127:$M127,O$1)&gt;0,$B127,0)</f>
        <v>0</v>
      </c>
      <c r="P127" s="2">
        <f>IF(COUNTIF(Roster!$D127:$M127,P$1)&gt;0,$B127,0)</f>
        <v>0</v>
      </c>
      <c r="Q127" s="2">
        <f>IF(COUNTIF(Roster!$D127:$M127,Q$1)&gt;0,$B127,0)</f>
        <v>0</v>
      </c>
      <c r="R127" s="2">
        <f>IF(COUNTIF(Roster!$D127:$M127,R$1)&gt;0,$B127,0)</f>
        <v>0</v>
      </c>
      <c r="S127" s="2">
        <f>IF(COUNTIF(Roster!$D127:$M127,S$1)&gt;0,$B127,0)</f>
        <v>0</v>
      </c>
      <c r="T127" s="2">
        <f>IF(COUNTIF(Roster!$D127:$M127,T$1)&gt;0,$B127,0)</f>
        <v>0</v>
      </c>
      <c r="U127" s="2">
        <f>IF(COUNTIF(Roster!$D127:$M127,U$1)&gt;0,$B127,0)</f>
        <v>0</v>
      </c>
      <c r="V127" s="2">
        <f>IF(COUNTIF(Roster!$D127:$M127,V$1)&gt;0,$B127,0)</f>
        <v>0</v>
      </c>
      <c r="W127" s="2">
        <f>IF(COUNTIF(Roster!$D127:$M127,W$1)&gt;0,$B127,0)</f>
        <v>0</v>
      </c>
      <c r="X127" s="2">
        <f t="shared" si="1"/>
        <v>0</v>
      </c>
    </row>
    <row r="128" spans="1:24" ht="15" customHeight="1" x14ac:dyDescent="0.3">
      <c r="A128" s="2">
        <f>Roster!A128</f>
        <v>127</v>
      </c>
      <c r="B128" s="2">
        <f>Roster!C128</f>
        <v>0</v>
      </c>
      <c r="C128" s="2">
        <f>IF(COUNTIF(Roster!$D128:$M128,C$1)&gt;0,$B128,0)</f>
        <v>0</v>
      </c>
      <c r="D128" s="2">
        <f>IF(COUNTIF(Roster!$D128:$M128,D$1)&gt;0,$B128,0)</f>
        <v>0</v>
      </c>
      <c r="E128" s="2">
        <f>IF(COUNTIF(Roster!$D128:$M128,E$1)&gt;0,$B128,0)</f>
        <v>0</v>
      </c>
      <c r="F128" s="2">
        <f>IF(COUNTIF(Roster!$D128:$M128,F$1)&gt;0,$B128,0)</f>
        <v>0</v>
      </c>
      <c r="G128" s="2">
        <f>IF(COUNTIF(Roster!$D128:$M128,G$1)&gt;0,$B128,0)</f>
        <v>0</v>
      </c>
      <c r="H128" s="2">
        <f>IF(COUNTIF(Roster!$D128:$M128,H$1)&gt;0,$B128,0)</f>
        <v>0</v>
      </c>
      <c r="I128" s="2">
        <f>IF(COUNTIF(Roster!$D128:$M128,I$1)&gt;0,$B128,0)</f>
        <v>0</v>
      </c>
      <c r="J128" s="2">
        <f>IF(COUNTIF(Roster!$D128:$M128,J$1)&gt;0,$B128,0)</f>
        <v>0</v>
      </c>
      <c r="K128" s="2">
        <f>IF(COUNTIF(Roster!$D128:$M128,K$1)&gt;0,$B128,0)</f>
        <v>0</v>
      </c>
      <c r="L128" s="2">
        <f>IF(COUNTIF(Roster!$D128:$M128,L$1)&gt;0,$B128,0)</f>
        <v>0</v>
      </c>
      <c r="M128" s="2">
        <f>IF(COUNTIF(Roster!$D128:$M128,M$1)&gt;0,$B128,0)</f>
        <v>0</v>
      </c>
      <c r="N128" s="2">
        <f>IF(COUNTIF(Roster!$D128:$M128,N$1)&gt;0,$B128,0)</f>
        <v>0</v>
      </c>
      <c r="O128" s="2">
        <f>IF(COUNTIF(Roster!$D128:$M128,O$1)&gt;0,$B128,0)</f>
        <v>0</v>
      </c>
      <c r="P128" s="2">
        <f>IF(COUNTIF(Roster!$D128:$M128,P$1)&gt;0,$B128,0)</f>
        <v>0</v>
      </c>
      <c r="Q128" s="2">
        <f>IF(COUNTIF(Roster!$D128:$M128,Q$1)&gt;0,$B128,0)</f>
        <v>0</v>
      </c>
      <c r="R128" s="2">
        <f>IF(COUNTIF(Roster!$D128:$M128,R$1)&gt;0,$B128,0)</f>
        <v>0</v>
      </c>
      <c r="S128" s="2">
        <f>IF(COUNTIF(Roster!$D128:$M128,S$1)&gt;0,$B128,0)</f>
        <v>0</v>
      </c>
      <c r="T128" s="2">
        <f>IF(COUNTIF(Roster!$D128:$M128,T$1)&gt;0,$B128,0)</f>
        <v>0</v>
      </c>
      <c r="U128" s="2">
        <f>IF(COUNTIF(Roster!$D128:$M128,U$1)&gt;0,$B128,0)</f>
        <v>0</v>
      </c>
      <c r="V128" s="2">
        <f>IF(COUNTIF(Roster!$D128:$M128,V$1)&gt;0,$B128,0)</f>
        <v>0</v>
      </c>
      <c r="W128" s="2">
        <f>IF(COUNTIF(Roster!$D128:$M128,W$1)&gt;0,$B128,0)</f>
        <v>0</v>
      </c>
      <c r="X128" s="2">
        <f t="shared" si="1"/>
        <v>0</v>
      </c>
    </row>
    <row r="129" spans="1:24" ht="15" customHeight="1" x14ac:dyDescent="0.3">
      <c r="A129" s="2">
        <f>Roster!A129</f>
        <v>128</v>
      </c>
      <c r="B129" s="2">
        <f>Roster!C129</f>
        <v>0</v>
      </c>
      <c r="C129" s="2">
        <f>IF(COUNTIF(Roster!$D129:$M129,C$1)&gt;0,$B129,0)</f>
        <v>0</v>
      </c>
      <c r="D129" s="2">
        <f>IF(COUNTIF(Roster!$D129:$M129,D$1)&gt;0,$B129,0)</f>
        <v>0</v>
      </c>
      <c r="E129" s="2">
        <f>IF(COUNTIF(Roster!$D129:$M129,E$1)&gt;0,$B129,0)</f>
        <v>0</v>
      </c>
      <c r="F129" s="2">
        <f>IF(COUNTIF(Roster!$D129:$M129,F$1)&gt;0,$B129,0)</f>
        <v>0</v>
      </c>
      <c r="G129" s="2">
        <f>IF(COUNTIF(Roster!$D129:$M129,G$1)&gt;0,$B129,0)</f>
        <v>0</v>
      </c>
      <c r="H129" s="2">
        <f>IF(COUNTIF(Roster!$D129:$M129,H$1)&gt;0,$B129,0)</f>
        <v>0</v>
      </c>
      <c r="I129" s="2">
        <f>IF(COUNTIF(Roster!$D129:$M129,I$1)&gt;0,$B129,0)</f>
        <v>0</v>
      </c>
      <c r="J129" s="2">
        <f>IF(COUNTIF(Roster!$D129:$M129,J$1)&gt;0,$B129,0)</f>
        <v>0</v>
      </c>
      <c r="K129" s="2">
        <f>IF(COUNTIF(Roster!$D129:$M129,K$1)&gt;0,$B129,0)</f>
        <v>0</v>
      </c>
      <c r="L129" s="2">
        <f>IF(COUNTIF(Roster!$D129:$M129,L$1)&gt;0,$B129,0)</f>
        <v>0</v>
      </c>
      <c r="M129" s="2">
        <f>IF(COUNTIF(Roster!$D129:$M129,M$1)&gt;0,$B129,0)</f>
        <v>0</v>
      </c>
      <c r="N129" s="2">
        <f>IF(COUNTIF(Roster!$D129:$M129,N$1)&gt;0,$B129,0)</f>
        <v>0</v>
      </c>
      <c r="O129" s="2">
        <f>IF(COUNTIF(Roster!$D129:$M129,O$1)&gt;0,$B129,0)</f>
        <v>0</v>
      </c>
      <c r="P129" s="2">
        <f>IF(COUNTIF(Roster!$D129:$M129,P$1)&gt;0,$B129,0)</f>
        <v>0</v>
      </c>
      <c r="Q129" s="2">
        <f>IF(COUNTIF(Roster!$D129:$M129,Q$1)&gt;0,$B129,0)</f>
        <v>0</v>
      </c>
      <c r="R129" s="2">
        <f>IF(COUNTIF(Roster!$D129:$M129,R$1)&gt;0,$B129,0)</f>
        <v>0</v>
      </c>
      <c r="S129" s="2">
        <f>IF(COUNTIF(Roster!$D129:$M129,S$1)&gt;0,$B129,0)</f>
        <v>0</v>
      </c>
      <c r="T129" s="2">
        <f>IF(COUNTIF(Roster!$D129:$M129,T$1)&gt;0,$B129,0)</f>
        <v>0</v>
      </c>
      <c r="U129" s="2">
        <f>IF(COUNTIF(Roster!$D129:$M129,U$1)&gt;0,$B129,0)</f>
        <v>0</v>
      </c>
      <c r="V129" s="2">
        <f>IF(COUNTIF(Roster!$D129:$M129,V$1)&gt;0,$B129,0)</f>
        <v>0</v>
      </c>
      <c r="W129" s="2">
        <f>IF(COUNTIF(Roster!$D129:$M129,W$1)&gt;0,$B129,0)</f>
        <v>0</v>
      </c>
      <c r="X129" s="2">
        <f t="shared" si="1"/>
        <v>0</v>
      </c>
    </row>
    <row r="130" spans="1:24" ht="15" customHeight="1" x14ac:dyDescent="0.3">
      <c r="A130" s="2">
        <f>Roster!A130</f>
        <v>129</v>
      </c>
      <c r="B130" s="2">
        <f>Roster!C130</f>
        <v>0</v>
      </c>
      <c r="C130" s="2">
        <f>IF(COUNTIF(Roster!$D130:$M130,C$1)&gt;0,$B130,0)</f>
        <v>0</v>
      </c>
      <c r="D130" s="2">
        <f>IF(COUNTIF(Roster!$D130:$M130,D$1)&gt;0,$B130,0)</f>
        <v>0</v>
      </c>
      <c r="E130" s="2">
        <f>IF(COUNTIF(Roster!$D130:$M130,E$1)&gt;0,$B130,0)</f>
        <v>0</v>
      </c>
      <c r="F130" s="2">
        <f>IF(COUNTIF(Roster!$D130:$M130,F$1)&gt;0,$B130,0)</f>
        <v>0</v>
      </c>
      <c r="G130" s="2">
        <f>IF(COUNTIF(Roster!$D130:$M130,G$1)&gt;0,$B130,0)</f>
        <v>0</v>
      </c>
      <c r="H130" s="2">
        <f>IF(COUNTIF(Roster!$D130:$M130,H$1)&gt;0,$B130,0)</f>
        <v>0</v>
      </c>
      <c r="I130" s="2">
        <f>IF(COUNTIF(Roster!$D130:$M130,I$1)&gt;0,$B130,0)</f>
        <v>0</v>
      </c>
      <c r="J130" s="2">
        <f>IF(COUNTIF(Roster!$D130:$M130,J$1)&gt;0,$B130,0)</f>
        <v>0</v>
      </c>
      <c r="K130" s="2">
        <f>IF(COUNTIF(Roster!$D130:$M130,K$1)&gt;0,$B130,0)</f>
        <v>0</v>
      </c>
      <c r="L130" s="2">
        <f>IF(COUNTIF(Roster!$D130:$M130,L$1)&gt;0,$B130,0)</f>
        <v>0</v>
      </c>
      <c r="M130" s="2">
        <f>IF(COUNTIF(Roster!$D130:$M130,M$1)&gt;0,$B130,0)</f>
        <v>0</v>
      </c>
      <c r="N130" s="2">
        <f>IF(COUNTIF(Roster!$D130:$M130,N$1)&gt;0,$B130,0)</f>
        <v>0</v>
      </c>
      <c r="O130" s="2">
        <f>IF(COUNTIF(Roster!$D130:$M130,O$1)&gt;0,$B130,0)</f>
        <v>0</v>
      </c>
      <c r="P130" s="2">
        <f>IF(COUNTIF(Roster!$D130:$M130,P$1)&gt;0,$B130,0)</f>
        <v>0</v>
      </c>
      <c r="Q130" s="2">
        <f>IF(COUNTIF(Roster!$D130:$M130,Q$1)&gt;0,$B130,0)</f>
        <v>0</v>
      </c>
      <c r="R130" s="2">
        <f>IF(COUNTIF(Roster!$D130:$M130,R$1)&gt;0,$B130,0)</f>
        <v>0</v>
      </c>
      <c r="S130" s="2">
        <f>IF(COUNTIF(Roster!$D130:$M130,S$1)&gt;0,$B130,0)</f>
        <v>0</v>
      </c>
      <c r="T130" s="2">
        <f>IF(COUNTIF(Roster!$D130:$M130,T$1)&gt;0,$B130,0)</f>
        <v>0</v>
      </c>
      <c r="U130" s="2">
        <f>IF(COUNTIF(Roster!$D130:$M130,U$1)&gt;0,$B130,0)</f>
        <v>0</v>
      </c>
      <c r="V130" s="2">
        <f>IF(COUNTIF(Roster!$D130:$M130,V$1)&gt;0,$B130,0)</f>
        <v>0</v>
      </c>
      <c r="W130" s="2">
        <f>IF(COUNTIF(Roster!$D130:$M130,W$1)&gt;0,$B130,0)</f>
        <v>0</v>
      </c>
      <c r="X130" s="2">
        <f t="shared" ref="X130:X193" si="2">SUM(H130:W130)</f>
        <v>0</v>
      </c>
    </row>
    <row r="131" spans="1:24" ht="15" customHeight="1" x14ac:dyDescent="0.3">
      <c r="A131" s="2">
        <f>Roster!A131</f>
        <v>130</v>
      </c>
      <c r="B131" s="2">
        <f>Roster!C131</f>
        <v>0</v>
      </c>
      <c r="C131" s="2">
        <f>IF(COUNTIF(Roster!$D131:$M131,C$1)&gt;0,$B131,0)</f>
        <v>0</v>
      </c>
      <c r="D131" s="2">
        <f>IF(COUNTIF(Roster!$D131:$M131,D$1)&gt;0,$B131,0)</f>
        <v>0</v>
      </c>
      <c r="E131" s="2">
        <f>IF(COUNTIF(Roster!$D131:$M131,E$1)&gt;0,$B131,0)</f>
        <v>0</v>
      </c>
      <c r="F131" s="2">
        <f>IF(COUNTIF(Roster!$D131:$M131,F$1)&gt;0,$B131,0)</f>
        <v>0</v>
      </c>
      <c r="G131" s="2">
        <f>IF(COUNTIF(Roster!$D131:$M131,G$1)&gt;0,$B131,0)</f>
        <v>0</v>
      </c>
      <c r="H131" s="2">
        <f>IF(COUNTIF(Roster!$D131:$M131,H$1)&gt;0,$B131,0)</f>
        <v>0</v>
      </c>
      <c r="I131" s="2">
        <f>IF(COUNTIF(Roster!$D131:$M131,I$1)&gt;0,$B131,0)</f>
        <v>0</v>
      </c>
      <c r="J131" s="2">
        <f>IF(COUNTIF(Roster!$D131:$M131,J$1)&gt;0,$B131,0)</f>
        <v>0</v>
      </c>
      <c r="K131" s="2">
        <f>IF(COUNTIF(Roster!$D131:$M131,K$1)&gt;0,$B131,0)</f>
        <v>0</v>
      </c>
      <c r="L131" s="2">
        <f>IF(COUNTIF(Roster!$D131:$M131,L$1)&gt;0,$B131,0)</f>
        <v>0</v>
      </c>
      <c r="M131" s="2">
        <f>IF(COUNTIF(Roster!$D131:$M131,M$1)&gt;0,$B131,0)</f>
        <v>0</v>
      </c>
      <c r="N131" s="2">
        <f>IF(COUNTIF(Roster!$D131:$M131,N$1)&gt;0,$B131,0)</f>
        <v>0</v>
      </c>
      <c r="O131" s="2">
        <f>IF(COUNTIF(Roster!$D131:$M131,O$1)&gt;0,$B131,0)</f>
        <v>0</v>
      </c>
      <c r="P131" s="2">
        <f>IF(COUNTIF(Roster!$D131:$M131,P$1)&gt;0,$B131,0)</f>
        <v>0</v>
      </c>
      <c r="Q131" s="2">
        <f>IF(COUNTIF(Roster!$D131:$M131,Q$1)&gt;0,$B131,0)</f>
        <v>0</v>
      </c>
      <c r="R131" s="2">
        <f>IF(COUNTIF(Roster!$D131:$M131,R$1)&gt;0,$B131,0)</f>
        <v>0</v>
      </c>
      <c r="S131" s="2">
        <f>IF(COUNTIF(Roster!$D131:$M131,S$1)&gt;0,$B131,0)</f>
        <v>0</v>
      </c>
      <c r="T131" s="2">
        <f>IF(COUNTIF(Roster!$D131:$M131,T$1)&gt;0,$B131,0)</f>
        <v>0</v>
      </c>
      <c r="U131" s="2">
        <f>IF(COUNTIF(Roster!$D131:$M131,U$1)&gt;0,$B131,0)</f>
        <v>0</v>
      </c>
      <c r="V131" s="2">
        <f>IF(COUNTIF(Roster!$D131:$M131,V$1)&gt;0,$B131,0)</f>
        <v>0</v>
      </c>
      <c r="W131" s="2">
        <f>IF(COUNTIF(Roster!$D131:$M131,W$1)&gt;0,$B131,0)</f>
        <v>0</v>
      </c>
      <c r="X131" s="2">
        <f t="shared" si="2"/>
        <v>0</v>
      </c>
    </row>
    <row r="132" spans="1:24" ht="15" customHeight="1" x14ac:dyDescent="0.3">
      <c r="A132" s="2">
        <f>Roster!A132</f>
        <v>131</v>
      </c>
      <c r="B132" s="2">
        <f>Roster!C132</f>
        <v>0</v>
      </c>
      <c r="C132" s="2">
        <f>IF(COUNTIF(Roster!$D132:$M132,C$1)&gt;0,$B132,0)</f>
        <v>0</v>
      </c>
      <c r="D132" s="2">
        <f>IF(COUNTIF(Roster!$D132:$M132,D$1)&gt;0,$B132,0)</f>
        <v>0</v>
      </c>
      <c r="E132" s="2">
        <f>IF(COUNTIF(Roster!$D132:$M132,E$1)&gt;0,$B132,0)</f>
        <v>0</v>
      </c>
      <c r="F132" s="2">
        <f>IF(COUNTIF(Roster!$D132:$M132,F$1)&gt;0,$B132,0)</f>
        <v>0</v>
      </c>
      <c r="G132" s="2">
        <f>IF(COUNTIF(Roster!$D132:$M132,G$1)&gt;0,$B132,0)</f>
        <v>0</v>
      </c>
      <c r="H132" s="2">
        <f>IF(COUNTIF(Roster!$D132:$M132,H$1)&gt;0,$B132,0)</f>
        <v>0</v>
      </c>
      <c r="I132" s="2">
        <f>IF(COUNTIF(Roster!$D132:$M132,I$1)&gt;0,$B132,0)</f>
        <v>0</v>
      </c>
      <c r="J132" s="2">
        <f>IF(COUNTIF(Roster!$D132:$M132,J$1)&gt;0,$B132,0)</f>
        <v>0</v>
      </c>
      <c r="K132" s="2">
        <f>IF(COUNTIF(Roster!$D132:$M132,K$1)&gt;0,$B132,0)</f>
        <v>0</v>
      </c>
      <c r="L132" s="2">
        <f>IF(COUNTIF(Roster!$D132:$M132,L$1)&gt;0,$B132,0)</f>
        <v>0</v>
      </c>
      <c r="M132" s="2">
        <f>IF(COUNTIF(Roster!$D132:$M132,M$1)&gt;0,$B132,0)</f>
        <v>0</v>
      </c>
      <c r="N132" s="2">
        <f>IF(COUNTIF(Roster!$D132:$M132,N$1)&gt;0,$B132,0)</f>
        <v>0</v>
      </c>
      <c r="O132" s="2">
        <f>IF(COUNTIF(Roster!$D132:$M132,O$1)&gt;0,$B132,0)</f>
        <v>0</v>
      </c>
      <c r="P132" s="2">
        <f>IF(COUNTIF(Roster!$D132:$M132,P$1)&gt;0,$B132,0)</f>
        <v>0</v>
      </c>
      <c r="Q132" s="2">
        <f>IF(COUNTIF(Roster!$D132:$M132,Q$1)&gt;0,$B132,0)</f>
        <v>0</v>
      </c>
      <c r="R132" s="2">
        <f>IF(COUNTIF(Roster!$D132:$M132,R$1)&gt;0,$B132,0)</f>
        <v>0</v>
      </c>
      <c r="S132" s="2">
        <f>IF(COUNTIF(Roster!$D132:$M132,S$1)&gt;0,$B132,0)</f>
        <v>0</v>
      </c>
      <c r="T132" s="2">
        <f>IF(COUNTIF(Roster!$D132:$M132,T$1)&gt;0,$B132,0)</f>
        <v>0</v>
      </c>
      <c r="U132" s="2">
        <f>IF(COUNTIF(Roster!$D132:$M132,U$1)&gt;0,$B132,0)</f>
        <v>0</v>
      </c>
      <c r="V132" s="2">
        <f>IF(COUNTIF(Roster!$D132:$M132,V$1)&gt;0,$B132,0)</f>
        <v>0</v>
      </c>
      <c r="W132" s="2">
        <f>IF(COUNTIF(Roster!$D132:$M132,W$1)&gt;0,$B132,0)</f>
        <v>0</v>
      </c>
      <c r="X132" s="2">
        <f t="shared" si="2"/>
        <v>0</v>
      </c>
    </row>
    <row r="133" spans="1:24" ht="15" customHeight="1" x14ac:dyDescent="0.3">
      <c r="A133" s="2">
        <f>Roster!A133</f>
        <v>132</v>
      </c>
      <c r="B133" s="2">
        <f>Roster!C133</f>
        <v>0</v>
      </c>
      <c r="C133" s="2">
        <f>IF(COUNTIF(Roster!$D133:$M133,C$1)&gt;0,$B133,0)</f>
        <v>0</v>
      </c>
      <c r="D133" s="2">
        <f>IF(COUNTIF(Roster!$D133:$M133,D$1)&gt;0,$B133,0)</f>
        <v>0</v>
      </c>
      <c r="E133" s="2">
        <f>IF(COUNTIF(Roster!$D133:$M133,E$1)&gt;0,$B133,0)</f>
        <v>0</v>
      </c>
      <c r="F133" s="2">
        <f>IF(COUNTIF(Roster!$D133:$M133,F$1)&gt;0,$B133,0)</f>
        <v>0</v>
      </c>
      <c r="G133" s="2">
        <f>IF(COUNTIF(Roster!$D133:$M133,G$1)&gt;0,$B133,0)</f>
        <v>0</v>
      </c>
      <c r="H133" s="2">
        <f>IF(COUNTIF(Roster!$D133:$M133,H$1)&gt;0,$B133,0)</f>
        <v>0</v>
      </c>
      <c r="I133" s="2">
        <f>IF(COUNTIF(Roster!$D133:$M133,I$1)&gt;0,$B133,0)</f>
        <v>0</v>
      </c>
      <c r="J133" s="2">
        <f>IF(COUNTIF(Roster!$D133:$M133,J$1)&gt;0,$B133,0)</f>
        <v>0</v>
      </c>
      <c r="K133" s="2">
        <f>IF(COUNTIF(Roster!$D133:$M133,K$1)&gt;0,$B133,0)</f>
        <v>0</v>
      </c>
      <c r="L133" s="2">
        <f>IF(COUNTIF(Roster!$D133:$M133,L$1)&gt;0,$B133,0)</f>
        <v>0</v>
      </c>
      <c r="M133" s="2">
        <f>IF(COUNTIF(Roster!$D133:$M133,M$1)&gt;0,$B133,0)</f>
        <v>0</v>
      </c>
      <c r="N133" s="2">
        <f>IF(COUNTIF(Roster!$D133:$M133,N$1)&gt;0,$B133,0)</f>
        <v>0</v>
      </c>
      <c r="O133" s="2">
        <f>IF(COUNTIF(Roster!$D133:$M133,O$1)&gt;0,$B133,0)</f>
        <v>0</v>
      </c>
      <c r="P133" s="2">
        <f>IF(COUNTIF(Roster!$D133:$M133,P$1)&gt;0,$B133,0)</f>
        <v>0</v>
      </c>
      <c r="Q133" s="2">
        <f>IF(COUNTIF(Roster!$D133:$M133,Q$1)&gt;0,$B133,0)</f>
        <v>0</v>
      </c>
      <c r="R133" s="2">
        <f>IF(COUNTIF(Roster!$D133:$M133,R$1)&gt;0,$B133,0)</f>
        <v>0</v>
      </c>
      <c r="S133" s="2">
        <f>IF(COUNTIF(Roster!$D133:$M133,S$1)&gt;0,$B133,0)</f>
        <v>0</v>
      </c>
      <c r="T133" s="2">
        <f>IF(COUNTIF(Roster!$D133:$M133,T$1)&gt;0,$B133,0)</f>
        <v>0</v>
      </c>
      <c r="U133" s="2">
        <f>IF(COUNTIF(Roster!$D133:$M133,U$1)&gt;0,$B133,0)</f>
        <v>0</v>
      </c>
      <c r="V133" s="2">
        <f>IF(COUNTIF(Roster!$D133:$M133,V$1)&gt;0,$B133,0)</f>
        <v>0</v>
      </c>
      <c r="W133" s="2">
        <f>IF(COUNTIF(Roster!$D133:$M133,W$1)&gt;0,$B133,0)</f>
        <v>0</v>
      </c>
      <c r="X133" s="2">
        <f t="shared" si="2"/>
        <v>0</v>
      </c>
    </row>
    <row r="134" spans="1:24" ht="15" customHeight="1" x14ac:dyDescent="0.3">
      <c r="A134" s="2">
        <f>Roster!A134</f>
        <v>133</v>
      </c>
      <c r="B134" s="2">
        <f>Roster!C134</f>
        <v>0</v>
      </c>
      <c r="C134" s="2">
        <f>IF(COUNTIF(Roster!$D134:$M134,C$1)&gt;0,$B134,0)</f>
        <v>0</v>
      </c>
      <c r="D134" s="2">
        <f>IF(COUNTIF(Roster!$D134:$M134,D$1)&gt;0,$B134,0)</f>
        <v>0</v>
      </c>
      <c r="E134" s="2">
        <f>IF(COUNTIF(Roster!$D134:$M134,E$1)&gt;0,$B134,0)</f>
        <v>0</v>
      </c>
      <c r="F134" s="2">
        <f>IF(COUNTIF(Roster!$D134:$M134,F$1)&gt;0,$B134,0)</f>
        <v>0</v>
      </c>
      <c r="G134" s="2">
        <f>IF(COUNTIF(Roster!$D134:$M134,G$1)&gt;0,$B134,0)</f>
        <v>0</v>
      </c>
      <c r="H134" s="2">
        <f>IF(COUNTIF(Roster!$D134:$M134,H$1)&gt;0,$B134,0)</f>
        <v>0</v>
      </c>
      <c r="I134" s="2">
        <f>IF(COUNTIF(Roster!$D134:$M134,I$1)&gt;0,$B134,0)</f>
        <v>0</v>
      </c>
      <c r="J134" s="2">
        <f>IF(COUNTIF(Roster!$D134:$M134,J$1)&gt;0,$B134,0)</f>
        <v>0</v>
      </c>
      <c r="K134" s="2">
        <f>IF(COUNTIF(Roster!$D134:$M134,K$1)&gt;0,$B134,0)</f>
        <v>0</v>
      </c>
      <c r="L134" s="2">
        <f>IF(COUNTIF(Roster!$D134:$M134,L$1)&gt;0,$B134,0)</f>
        <v>0</v>
      </c>
      <c r="M134" s="2">
        <f>IF(COUNTIF(Roster!$D134:$M134,M$1)&gt;0,$B134,0)</f>
        <v>0</v>
      </c>
      <c r="N134" s="2">
        <f>IF(COUNTIF(Roster!$D134:$M134,N$1)&gt;0,$B134,0)</f>
        <v>0</v>
      </c>
      <c r="O134" s="2">
        <f>IF(COUNTIF(Roster!$D134:$M134,O$1)&gt;0,$B134,0)</f>
        <v>0</v>
      </c>
      <c r="P134" s="2">
        <f>IF(COUNTIF(Roster!$D134:$M134,P$1)&gt;0,$B134,0)</f>
        <v>0</v>
      </c>
      <c r="Q134" s="2">
        <f>IF(COUNTIF(Roster!$D134:$M134,Q$1)&gt;0,$B134,0)</f>
        <v>0</v>
      </c>
      <c r="R134" s="2">
        <f>IF(COUNTIF(Roster!$D134:$M134,R$1)&gt;0,$B134,0)</f>
        <v>0</v>
      </c>
      <c r="S134" s="2">
        <f>IF(COUNTIF(Roster!$D134:$M134,S$1)&gt;0,$B134,0)</f>
        <v>0</v>
      </c>
      <c r="T134" s="2">
        <f>IF(COUNTIF(Roster!$D134:$M134,T$1)&gt;0,$B134,0)</f>
        <v>0</v>
      </c>
      <c r="U134" s="2">
        <f>IF(COUNTIF(Roster!$D134:$M134,U$1)&gt;0,$B134,0)</f>
        <v>0</v>
      </c>
      <c r="V134" s="2">
        <f>IF(COUNTIF(Roster!$D134:$M134,V$1)&gt;0,$B134,0)</f>
        <v>0</v>
      </c>
      <c r="W134" s="2">
        <f>IF(COUNTIF(Roster!$D134:$M134,W$1)&gt;0,$B134,0)</f>
        <v>0</v>
      </c>
      <c r="X134" s="2">
        <f t="shared" si="2"/>
        <v>0</v>
      </c>
    </row>
    <row r="135" spans="1:24" ht="15" customHeight="1" x14ac:dyDescent="0.3">
      <c r="A135" s="2">
        <f>Roster!A135</f>
        <v>134</v>
      </c>
      <c r="B135" s="2">
        <f>Roster!C135</f>
        <v>0</v>
      </c>
      <c r="C135" s="2">
        <f>IF(COUNTIF(Roster!$D135:$M135,C$1)&gt;0,$B135,0)</f>
        <v>0</v>
      </c>
      <c r="D135" s="2">
        <f>IF(COUNTIF(Roster!$D135:$M135,D$1)&gt;0,$B135,0)</f>
        <v>0</v>
      </c>
      <c r="E135" s="2">
        <f>IF(COUNTIF(Roster!$D135:$M135,E$1)&gt;0,$B135,0)</f>
        <v>0</v>
      </c>
      <c r="F135" s="2">
        <f>IF(COUNTIF(Roster!$D135:$M135,F$1)&gt;0,$B135,0)</f>
        <v>0</v>
      </c>
      <c r="G135" s="2">
        <f>IF(COUNTIF(Roster!$D135:$M135,G$1)&gt;0,$B135,0)</f>
        <v>0</v>
      </c>
      <c r="H135" s="2">
        <f>IF(COUNTIF(Roster!$D135:$M135,H$1)&gt;0,$B135,0)</f>
        <v>0</v>
      </c>
      <c r="I135" s="2">
        <f>IF(COUNTIF(Roster!$D135:$M135,I$1)&gt;0,$B135,0)</f>
        <v>0</v>
      </c>
      <c r="J135" s="2">
        <f>IF(COUNTIF(Roster!$D135:$M135,J$1)&gt;0,$B135,0)</f>
        <v>0</v>
      </c>
      <c r="K135" s="2">
        <f>IF(COUNTIF(Roster!$D135:$M135,K$1)&gt;0,$B135,0)</f>
        <v>0</v>
      </c>
      <c r="L135" s="2">
        <f>IF(COUNTIF(Roster!$D135:$M135,L$1)&gt;0,$B135,0)</f>
        <v>0</v>
      </c>
      <c r="M135" s="2">
        <f>IF(COUNTIF(Roster!$D135:$M135,M$1)&gt;0,$B135,0)</f>
        <v>0</v>
      </c>
      <c r="N135" s="2">
        <f>IF(COUNTIF(Roster!$D135:$M135,N$1)&gt;0,$B135,0)</f>
        <v>0</v>
      </c>
      <c r="O135" s="2">
        <f>IF(COUNTIF(Roster!$D135:$M135,O$1)&gt;0,$B135,0)</f>
        <v>0</v>
      </c>
      <c r="P135" s="2">
        <f>IF(COUNTIF(Roster!$D135:$M135,P$1)&gt;0,$B135,0)</f>
        <v>0</v>
      </c>
      <c r="Q135" s="2">
        <f>IF(COUNTIF(Roster!$D135:$M135,Q$1)&gt;0,$B135,0)</f>
        <v>0</v>
      </c>
      <c r="R135" s="2">
        <f>IF(COUNTIF(Roster!$D135:$M135,R$1)&gt;0,$B135,0)</f>
        <v>0</v>
      </c>
      <c r="S135" s="2">
        <f>IF(COUNTIF(Roster!$D135:$M135,S$1)&gt;0,$B135,0)</f>
        <v>0</v>
      </c>
      <c r="T135" s="2">
        <f>IF(COUNTIF(Roster!$D135:$M135,T$1)&gt;0,$B135,0)</f>
        <v>0</v>
      </c>
      <c r="U135" s="2">
        <f>IF(COUNTIF(Roster!$D135:$M135,U$1)&gt;0,$B135,0)</f>
        <v>0</v>
      </c>
      <c r="V135" s="2">
        <f>IF(COUNTIF(Roster!$D135:$M135,V$1)&gt;0,$B135,0)</f>
        <v>0</v>
      </c>
      <c r="W135" s="2">
        <f>IF(COUNTIF(Roster!$D135:$M135,W$1)&gt;0,$B135,0)</f>
        <v>0</v>
      </c>
      <c r="X135" s="2">
        <f t="shared" si="2"/>
        <v>0</v>
      </c>
    </row>
    <row r="136" spans="1:24" ht="15" customHeight="1" x14ac:dyDescent="0.3">
      <c r="A136" s="2">
        <f>Roster!A136</f>
        <v>135</v>
      </c>
      <c r="B136" s="2">
        <f>Roster!C136</f>
        <v>0</v>
      </c>
      <c r="C136" s="2">
        <f>IF(COUNTIF(Roster!$D136:$M136,C$1)&gt;0,$B136,0)</f>
        <v>0</v>
      </c>
      <c r="D136" s="2">
        <f>IF(COUNTIF(Roster!$D136:$M136,D$1)&gt;0,$B136,0)</f>
        <v>0</v>
      </c>
      <c r="E136" s="2">
        <f>IF(COUNTIF(Roster!$D136:$M136,E$1)&gt;0,$B136,0)</f>
        <v>0</v>
      </c>
      <c r="F136" s="2">
        <f>IF(COUNTIF(Roster!$D136:$M136,F$1)&gt;0,$B136,0)</f>
        <v>0</v>
      </c>
      <c r="G136" s="2">
        <f>IF(COUNTIF(Roster!$D136:$M136,G$1)&gt;0,$B136,0)</f>
        <v>0</v>
      </c>
      <c r="H136" s="2">
        <f>IF(COUNTIF(Roster!$D136:$M136,H$1)&gt;0,$B136,0)</f>
        <v>0</v>
      </c>
      <c r="I136" s="2">
        <f>IF(COUNTIF(Roster!$D136:$M136,I$1)&gt;0,$B136,0)</f>
        <v>0</v>
      </c>
      <c r="J136" s="2">
        <f>IF(COUNTIF(Roster!$D136:$M136,J$1)&gt;0,$B136,0)</f>
        <v>0</v>
      </c>
      <c r="K136" s="2">
        <f>IF(COUNTIF(Roster!$D136:$M136,K$1)&gt;0,$B136,0)</f>
        <v>0</v>
      </c>
      <c r="L136" s="2">
        <f>IF(COUNTIF(Roster!$D136:$M136,L$1)&gt;0,$B136,0)</f>
        <v>0</v>
      </c>
      <c r="M136" s="2">
        <f>IF(COUNTIF(Roster!$D136:$M136,M$1)&gt;0,$B136,0)</f>
        <v>0</v>
      </c>
      <c r="N136" s="2">
        <f>IF(COUNTIF(Roster!$D136:$M136,N$1)&gt;0,$B136,0)</f>
        <v>0</v>
      </c>
      <c r="O136" s="2">
        <f>IF(COUNTIF(Roster!$D136:$M136,O$1)&gt;0,$B136,0)</f>
        <v>0</v>
      </c>
      <c r="P136" s="2">
        <f>IF(COUNTIF(Roster!$D136:$M136,P$1)&gt;0,$B136,0)</f>
        <v>0</v>
      </c>
      <c r="Q136" s="2">
        <f>IF(COUNTIF(Roster!$D136:$M136,Q$1)&gt;0,$B136,0)</f>
        <v>0</v>
      </c>
      <c r="R136" s="2">
        <f>IF(COUNTIF(Roster!$D136:$M136,R$1)&gt;0,$B136,0)</f>
        <v>0</v>
      </c>
      <c r="S136" s="2">
        <f>IF(COUNTIF(Roster!$D136:$M136,S$1)&gt;0,$B136,0)</f>
        <v>0</v>
      </c>
      <c r="T136" s="2">
        <f>IF(COUNTIF(Roster!$D136:$M136,T$1)&gt;0,$B136,0)</f>
        <v>0</v>
      </c>
      <c r="U136" s="2">
        <f>IF(COUNTIF(Roster!$D136:$M136,U$1)&gt;0,$B136,0)</f>
        <v>0</v>
      </c>
      <c r="V136" s="2">
        <f>IF(COUNTIF(Roster!$D136:$M136,V$1)&gt;0,$B136,0)</f>
        <v>0</v>
      </c>
      <c r="W136" s="2">
        <f>IF(COUNTIF(Roster!$D136:$M136,W$1)&gt;0,$B136,0)</f>
        <v>0</v>
      </c>
      <c r="X136" s="2">
        <f t="shared" si="2"/>
        <v>0</v>
      </c>
    </row>
    <row r="137" spans="1:24" ht="15" customHeight="1" x14ac:dyDescent="0.3">
      <c r="A137" s="2">
        <f>Roster!A137</f>
        <v>136</v>
      </c>
      <c r="B137" s="2">
        <f>Roster!C137</f>
        <v>0</v>
      </c>
      <c r="C137" s="2">
        <f>IF(COUNTIF(Roster!$D137:$M137,C$1)&gt;0,$B137,0)</f>
        <v>0</v>
      </c>
      <c r="D137" s="2">
        <f>IF(COUNTIF(Roster!$D137:$M137,D$1)&gt;0,$B137,0)</f>
        <v>0</v>
      </c>
      <c r="E137" s="2">
        <f>IF(COUNTIF(Roster!$D137:$M137,E$1)&gt;0,$B137,0)</f>
        <v>0</v>
      </c>
      <c r="F137" s="2">
        <f>IF(COUNTIF(Roster!$D137:$M137,F$1)&gt;0,$B137,0)</f>
        <v>0</v>
      </c>
      <c r="G137" s="2">
        <f>IF(COUNTIF(Roster!$D137:$M137,G$1)&gt;0,$B137,0)</f>
        <v>0</v>
      </c>
      <c r="H137" s="2">
        <f>IF(COUNTIF(Roster!$D137:$M137,H$1)&gt;0,$B137,0)</f>
        <v>0</v>
      </c>
      <c r="I137" s="2">
        <f>IF(COUNTIF(Roster!$D137:$M137,I$1)&gt;0,$B137,0)</f>
        <v>0</v>
      </c>
      <c r="J137" s="2">
        <f>IF(COUNTIF(Roster!$D137:$M137,J$1)&gt;0,$B137,0)</f>
        <v>0</v>
      </c>
      <c r="K137" s="2">
        <f>IF(COUNTIF(Roster!$D137:$M137,K$1)&gt;0,$B137,0)</f>
        <v>0</v>
      </c>
      <c r="L137" s="2">
        <f>IF(COUNTIF(Roster!$D137:$M137,L$1)&gt;0,$B137,0)</f>
        <v>0</v>
      </c>
      <c r="M137" s="2">
        <f>IF(COUNTIF(Roster!$D137:$M137,M$1)&gt;0,$B137,0)</f>
        <v>0</v>
      </c>
      <c r="N137" s="2">
        <f>IF(COUNTIF(Roster!$D137:$M137,N$1)&gt;0,$B137,0)</f>
        <v>0</v>
      </c>
      <c r="O137" s="2">
        <f>IF(COUNTIF(Roster!$D137:$M137,O$1)&gt;0,$B137,0)</f>
        <v>0</v>
      </c>
      <c r="P137" s="2">
        <f>IF(COUNTIF(Roster!$D137:$M137,P$1)&gt;0,$B137,0)</f>
        <v>0</v>
      </c>
      <c r="Q137" s="2">
        <f>IF(COUNTIF(Roster!$D137:$M137,Q$1)&gt;0,$B137,0)</f>
        <v>0</v>
      </c>
      <c r="R137" s="2">
        <f>IF(COUNTIF(Roster!$D137:$M137,R$1)&gt;0,$B137,0)</f>
        <v>0</v>
      </c>
      <c r="S137" s="2">
        <f>IF(COUNTIF(Roster!$D137:$M137,S$1)&gt;0,$B137,0)</f>
        <v>0</v>
      </c>
      <c r="T137" s="2">
        <f>IF(COUNTIF(Roster!$D137:$M137,T$1)&gt;0,$B137,0)</f>
        <v>0</v>
      </c>
      <c r="U137" s="2">
        <f>IF(COUNTIF(Roster!$D137:$M137,U$1)&gt;0,$B137,0)</f>
        <v>0</v>
      </c>
      <c r="V137" s="2">
        <f>IF(COUNTIF(Roster!$D137:$M137,V$1)&gt;0,$B137,0)</f>
        <v>0</v>
      </c>
      <c r="W137" s="2">
        <f>IF(COUNTIF(Roster!$D137:$M137,W$1)&gt;0,$B137,0)</f>
        <v>0</v>
      </c>
      <c r="X137" s="2">
        <f t="shared" si="2"/>
        <v>0</v>
      </c>
    </row>
    <row r="138" spans="1:24" ht="15" customHeight="1" x14ac:dyDescent="0.3">
      <c r="A138" s="2">
        <f>Roster!A138</f>
        <v>137</v>
      </c>
      <c r="B138" s="2">
        <f>Roster!C138</f>
        <v>0</v>
      </c>
      <c r="C138" s="2">
        <f>IF(COUNTIF(Roster!$D138:$M138,C$1)&gt;0,$B138,0)</f>
        <v>0</v>
      </c>
      <c r="D138" s="2">
        <f>IF(COUNTIF(Roster!$D138:$M138,D$1)&gt;0,$B138,0)</f>
        <v>0</v>
      </c>
      <c r="E138" s="2">
        <f>IF(COUNTIF(Roster!$D138:$M138,E$1)&gt;0,$B138,0)</f>
        <v>0</v>
      </c>
      <c r="F138" s="2">
        <f>IF(COUNTIF(Roster!$D138:$M138,F$1)&gt;0,$B138,0)</f>
        <v>0</v>
      </c>
      <c r="G138" s="2">
        <f>IF(COUNTIF(Roster!$D138:$M138,G$1)&gt;0,$B138,0)</f>
        <v>0</v>
      </c>
      <c r="H138" s="2">
        <f>IF(COUNTIF(Roster!$D138:$M138,H$1)&gt;0,$B138,0)</f>
        <v>0</v>
      </c>
      <c r="I138" s="2">
        <f>IF(COUNTIF(Roster!$D138:$M138,I$1)&gt;0,$B138,0)</f>
        <v>0</v>
      </c>
      <c r="J138" s="2">
        <f>IF(COUNTIF(Roster!$D138:$M138,J$1)&gt;0,$B138,0)</f>
        <v>0</v>
      </c>
      <c r="K138" s="2">
        <f>IF(COUNTIF(Roster!$D138:$M138,K$1)&gt;0,$B138,0)</f>
        <v>0</v>
      </c>
      <c r="L138" s="2">
        <f>IF(COUNTIF(Roster!$D138:$M138,L$1)&gt;0,$B138,0)</f>
        <v>0</v>
      </c>
      <c r="M138" s="2">
        <f>IF(COUNTIF(Roster!$D138:$M138,M$1)&gt;0,$B138,0)</f>
        <v>0</v>
      </c>
      <c r="N138" s="2">
        <f>IF(COUNTIF(Roster!$D138:$M138,N$1)&gt;0,$B138,0)</f>
        <v>0</v>
      </c>
      <c r="O138" s="2">
        <f>IF(COUNTIF(Roster!$D138:$M138,O$1)&gt;0,$B138,0)</f>
        <v>0</v>
      </c>
      <c r="P138" s="2">
        <f>IF(COUNTIF(Roster!$D138:$M138,P$1)&gt;0,$B138,0)</f>
        <v>0</v>
      </c>
      <c r="Q138" s="2">
        <f>IF(COUNTIF(Roster!$D138:$M138,Q$1)&gt;0,$B138,0)</f>
        <v>0</v>
      </c>
      <c r="R138" s="2">
        <f>IF(COUNTIF(Roster!$D138:$M138,R$1)&gt;0,$B138,0)</f>
        <v>0</v>
      </c>
      <c r="S138" s="2">
        <f>IF(COUNTIF(Roster!$D138:$M138,S$1)&gt;0,$B138,0)</f>
        <v>0</v>
      </c>
      <c r="T138" s="2">
        <f>IF(COUNTIF(Roster!$D138:$M138,T$1)&gt;0,$B138,0)</f>
        <v>0</v>
      </c>
      <c r="U138" s="2">
        <f>IF(COUNTIF(Roster!$D138:$M138,U$1)&gt;0,$B138,0)</f>
        <v>0</v>
      </c>
      <c r="V138" s="2">
        <f>IF(COUNTIF(Roster!$D138:$M138,V$1)&gt;0,$B138,0)</f>
        <v>0</v>
      </c>
      <c r="W138" s="2">
        <f>IF(COUNTIF(Roster!$D138:$M138,W$1)&gt;0,$B138,0)</f>
        <v>0</v>
      </c>
      <c r="X138" s="2">
        <f t="shared" si="2"/>
        <v>0</v>
      </c>
    </row>
    <row r="139" spans="1:24" ht="15" customHeight="1" x14ac:dyDescent="0.3">
      <c r="A139" s="2">
        <f>Roster!A139</f>
        <v>138</v>
      </c>
      <c r="B139" s="2">
        <f>Roster!C139</f>
        <v>0</v>
      </c>
      <c r="C139" s="2">
        <f>IF(COUNTIF(Roster!$D139:$M139,C$1)&gt;0,$B139,0)</f>
        <v>0</v>
      </c>
      <c r="D139" s="2">
        <f>IF(COUNTIF(Roster!$D139:$M139,D$1)&gt;0,$B139,0)</f>
        <v>0</v>
      </c>
      <c r="E139" s="2">
        <f>IF(COUNTIF(Roster!$D139:$M139,E$1)&gt;0,$B139,0)</f>
        <v>0</v>
      </c>
      <c r="F139" s="2">
        <f>IF(COUNTIF(Roster!$D139:$M139,F$1)&gt;0,$B139,0)</f>
        <v>0</v>
      </c>
      <c r="G139" s="2">
        <f>IF(COUNTIF(Roster!$D139:$M139,G$1)&gt;0,$B139,0)</f>
        <v>0</v>
      </c>
      <c r="H139" s="2">
        <f>IF(COUNTIF(Roster!$D139:$M139,H$1)&gt;0,$B139,0)</f>
        <v>0</v>
      </c>
      <c r="I139" s="2">
        <f>IF(COUNTIF(Roster!$D139:$M139,I$1)&gt;0,$B139,0)</f>
        <v>0</v>
      </c>
      <c r="J139" s="2">
        <f>IF(COUNTIF(Roster!$D139:$M139,J$1)&gt;0,$B139,0)</f>
        <v>0</v>
      </c>
      <c r="K139" s="2">
        <f>IF(COUNTIF(Roster!$D139:$M139,K$1)&gt;0,$B139,0)</f>
        <v>0</v>
      </c>
      <c r="L139" s="2">
        <f>IF(COUNTIF(Roster!$D139:$M139,L$1)&gt;0,$B139,0)</f>
        <v>0</v>
      </c>
      <c r="M139" s="2">
        <f>IF(COUNTIF(Roster!$D139:$M139,M$1)&gt;0,$B139,0)</f>
        <v>0</v>
      </c>
      <c r="N139" s="2">
        <f>IF(COUNTIF(Roster!$D139:$M139,N$1)&gt;0,$B139,0)</f>
        <v>0</v>
      </c>
      <c r="O139" s="2">
        <f>IF(COUNTIF(Roster!$D139:$M139,O$1)&gt;0,$B139,0)</f>
        <v>0</v>
      </c>
      <c r="P139" s="2">
        <f>IF(COUNTIF(Roster!$D139:$M139,P$1)&gt;0,$B139,0)</f>
        <v>0</v>
      </c>
      <c r="Q139" s="2">
        <f>IF(COUNTIF(Roster!$D139:$M139,Q$1)&gt;0,$B139,0)</f>
        <v>0</v>
      </c>
      <c r="R139" s="2">
        <f>IF(COUNTIF(Roster!$D139:$M139,R$1)&gt;0,$B139,0)</f>
        <v>0</v>
      </c>
      <c r="S139" s="2">
        <f>IF(COUNTIF(Roster!$D139:$M139,S$1)&gt;0,$B139,0)</f>
        <v>0</v>
      </c>
      <c r="T139" s="2">
        <f>IF(COUNTIF(Roster!$D139:$M139,T$1)&gt;0,$B139,0)</f>
        <v>0</v>
      </c>
      <c r="U139" s="2">
        <f>IF(COUNTIF(Roster!$D139:$M139,U$1)&gt;0,$B139,0)</f>
        <v>0</v>
      </c>
      <c r="V139" s="2">
        <f>IF(COUNTIF(Roster!$D139:$M139,V$1)&gt;0,$B139,0)</f>
        <v>0</v>
      </c>
      <c r="W139" s="2">
        <f>IF(COUNTIF(Roster!$D139:$M139,W$1)&gt;0,$B139,0)</f>
        <v>0</v>
      </c>
      <c r="X139" s="2">
        <f t="shared" si="2"/>
        <v>0</v>
      </c>
    </row>
    <row r="140" spans="1:24" ht="15" customHeight="1" x14ac:dyDescent="0.3">
      <c r="A140" s="2">
        <f>Roster!A140</f>
        <v>139</v>
      </c>
      <c r="B140" s="2">
        <f>Roster!C140</f>
        <v>0</v>
      </c>
      <c r="C140" s="2">
        <f>IF(COUNTIF(Roster!$D140:$M140,C$1)&gt;0,$B140,0)</f>
        <v>0</v>
      </c>
      <c r="D140" s="2">
        <f>IF(COUNTIF(Roster!$D140:$M140,D$1)&gt;0,$B140,0)</f>
        <v>0</v>
      </c>
      <c r="E140" s="2">
        <f>IF(COUNTIF(Roster!$D140:$M140,E$1)&gt;0,$B140,0)</f>
        <v>0</v>
      </c>
      <c r="F140" s="2">
        <f>IF(COUNTIF(Roster!$D140:$M140,F$1)&gt;0,$B140,0)</f>
        <v>0</v>
      </c>
      <c r="G140" s="2">
        <f>IF(COUNTIF(Roster!$D140:$M140,G$1)&gt;0,$B140,0)</f>
        <v>0</v>
      </c>
      <c r="H140" s="2">
        <f>IF(COUNTIF(Roster!$D140:$M140,H$1)&gt;0,$B140,0)</f>
        <v>0</v>
      </c>
      <c r="I140" s="2">
        <f>IF(COUNTIF(Roster!$D140:$M140,I$1)&gt;0,$B140,0)</f>
        <v>0</v>
      </c>
      <c r="J140" s="2">
        <f>IF(COUNTIF(Roster!$D140:$M140,J$1)&gt;0,$B140,0)</f>
        <v>0</v>
      </c>
      <c r="K140" s="2">
        <f>IF(COUNTIF(Roster!$D140:$M140,K$1)&gt;0,$B140,0)</f>
        <v>0</v>
      </c>
      <c r="L140" s="2">
        <f>IF(COUNTIF(Roster!$D140:$M140,L$1)&gt;0,$B140,0)</f>
        <v>0</v>
      </c>
      <c r="M140" s="2">
        <f>IF(COUNTIF(Roster!$D140:$M140,M$1)&gt;0,$B140,0)</f>
        <v>0</v>
      </c>
      <c r="N140" s="2">
        <f>IF(COUNTIF(Roster!$D140:$M140,N$1)&gt;0,$B140,0)</f>
        <v>0</v>
      </c>
      <c r="O140" s="2">
        <f>IF(COUNTIF(Roster!$D140:$M140,O$1)&gt;0,$B140,0)</f>
        <v>0</v>
      </c>
      <c r="P140" s="2">
        <f>IF(COUNTIF(Roster!$D140:$M140,P$1)&gt;0,$B140,0)</f>
        <v>0</v>
      </c>
      <c r="Q140" s="2">
        <f>IF(COUNTIF(Roster!$D140:$M140,Q$1)&gt;0,$B140,0)</f>
        <v>0</v>
      </c>
      <c r="R140" s="2">
        <f>IF(COUNTIF(Roster!$D140:$M140,R$1)&gt;0,$B140,0)</f>
        <v>0</v>
      </c>
      <c r="S140" s="2">
        <f>IF(COUNTIF(Roster!$D140:$M140,S$1)&gt;0,$B140,0)</f>
        <v>0</v>
      </c>
      <c r="T140" s="2">
        <f>IF(COUNTIF(Roster!$D140:$M140,T$1)&gt;0,$B140,0)</f>
        <v>0</v>
      </c>
      <c r="U140" s="2">
        <f>IF(COUNTIF(Roster!$D140:$M140,U$1)&gt;0,$B140,0)</f>
        <v>0</v>
      </c>
      <c r="V140" s="2">
        <f>IF(COUNTIF(Roster!$D140:$M140,V$1)&gt;0,$B140,0)</f>
        <v>0</v>
      </c>
      <c r="W140" s="2">
        <f>IF(COUNTIF(Roster!$D140:$M140,W$1)&gt;0,$B140,0)</f>
        <v>0</v>
      </c>
      <c r="X140" s="2">
        <f t="shared" si="2"/>
        <v>0</v>
      </c>
    </row>
    <row r="141" spans="1:24" ht="15" customHeight="1" x14ac:dyDescent="0.3">
      <c r="A141" s="2">
        <f>Roster!A141</f>
        <v>140</v>
      </c>
      <c r="B141" s="2">
        <f>Roster!C141</f>
        <v>0</v>
      </c>
      <c r="C141" s="2">
        <f>IF(COUNTIF(Roster!$D141:$M141,C$1)&gt;0,$B141,0)</f>
        <v>0</v>
      </c>
      <c r="D141" s="2">
        <f>IF(COUNTIF(Roster!$D141:$M141,D$1)&gt;0,$B141,0)</f>
        <v>0</v>
      </c>
      <c r="E141" s="2">
        <f>IF(COUNTIF(Roster!$D141:$M141,E$1)&gt;0,$B141,0)</f>
        <v>0</v>
      </c>
      <c r="F141" s="2">
        <f>IF(COUNTIF(Roster!$D141:$M141,F$1)&gt;0,$B141,0)</f>
        <v>0</v>
      </c>
      <c r="G141" s="2">
        <f>IF(COUNTIF(Roster!$D141:$M141,G$1)&gt;0,$B141,0)</f>
        <v>0</v>
      </c>
      <c r="H141" s="2">
        <f>IF(COUNTIF(Roster!$D141:$M141,H$1)&gt;0,$B141,0)</f>
        <v>0</v>
      </c>
      <c r="I141" s="2">
        <f>IF(COUNTIF(Roster!$D141:$M141,I$1)&gt;0,$B141,0)</f>
        <v>0</v>
      </c>
      <c r="J141" s="2">
        <f>IF(COUNTIF(Roster!$D141:$M141,J$1)&gt;0,$B141,0)</f>
        <v>0</v>
      </c>
      <c r="K141" s="2">
        <f>IF(COUNTIF(Roster!$D141:$M141,K$1)&gt;0,$B141,0)</f>
        <v>0</v>
      </c>
      <c r="L141" s="2">
        <f>IF(COUNTIF(Roster!$D141:$M141,L$1)&gt;0,$B141,0)</f>
        <v>0</v>
      </c>
      <c r="M141" s="2">
        <f>IF(COUNTIF(Roster!$D141:$M141,M$1)&gt;0,$B141,0)</f>
        <v>0</v>
      </c>
      <c r="N141" s="2">
        <f>IF(COUNTIF(Roster!$D141:$M141,N$1)&gt;0,$B141,0)</f>
        <v>0</v>
      </c>
      <c r="O141" s="2">
        <f>IF(COUNTIF(Roster!$D141:$M141,O$1)&gt;0,$B141,0)</f>
        <v>0</v>
      </c>
      <c r="P141" s="2">
        <f>IF(COUNTIF(Roster!$D141:$M141,P$1)&gt;0,$B141,0)</f>
        <v>0</v>
      </c>
      <c r="Q141" s="2">
        <f>IF(COUNTIF(Roster!$D141:$M141,Q$1)&gt;0,$B141,0)</f>
        <v>0</v>
      </c>
      <c r="R141" s="2">
        <f>IF(COUNTIF(Roster!$D141:$M141,R$1)&gt;0,$B141,0)</f>
        <v>0</v>
      </c>
      <c r="S141" s="2">
        <f>IF(COUNTIF(Roster!$D141:$M141,S$1)&gt;0,$B141,0)</f>
        <v>0</v>
      </c>
      <c r="T141" s="2">
        <f>IF(COUNTIF(Roster!$D141:$M141,T$1)&gt;0,$B141,0)</f>
        <v>0</v>
      </c>
      <c r="U141" s="2">
        <f>IF(COUNTIF(Roster!$D141:$M141,U$1)&gt;0,$B141,0)</f>
        <v>0</v>
      </c>
      <c r="V141" s="2">
        <f>IF(COUNTIF(Roster!$D141:$M141,V$1)&gt;0,$B141,0)</f>
        <v>0</v>
      </c>
      <c r="W141" s="2">
        <f>IF(COUNTIF(Roster!$D141:$M141,W$1)&gt;0,$B141,0)</f>
        <v>0</v>
      </c>
      <c r="X141" s="2">
        <f t="shared" si="2"/>
        <v>0</v>
      </c>
    </row>
    <row r="142" spans="1:24" ht="15" customHeight="1" x14ac:dyDescent="0.3">
      <c r="A142" s="2">
        <f>Roster!A142</f>
        <v>141</v>
      </c>
      <c r="B142" s="2">
        <f>Roster!C142</f>
        <v>0</v>
      </c>
      <c r="C142" s="2">
        <f>IF(COUNTIF(Roster!$D142:$M142,C$1)&gt;0,$B142,0)</f>
        <v>0</v>
      </c>
      <c r="D142" s="2">
        <f>IF(COUNTIF(Roster!$D142:$M142,D$1)&gt;0,$B142,0)</f>
        <v>0</v>
      </c>
      <c r="E142" s="2">
        <f>IF(COUNTIF(Roster!$D142:$M142,E$1)&gt;0,$B142,0)</f>
        <v>0</v>
      </c>
      <c r="F142" s="2">
        <f>IF(COUNTIF(Roster!$D142:$M142,F$1)&gt;0,$B142,0)</f>
        <v>0</v>
      </c>
      <c r="G142" s="2">
        <f>IF(COUNTIF(Roster!$D142:$M142,G$1)&gt;0,$B142,0)</f>
        <v>0</v>
      </c>
      <c r="H142" s="2">
        <f>IF(COUNTIF(Roster!$D142:$M142,H$1)&gt;0,$B142,0)</f>
        <v>0</v>
      </c>
      <c r="I142" s="2">
        <f>IF(COUNTIF(Roster!$D142:$M142,I$1)&gt;0,$B142,0)</f>
        <v>0</v>
      </c>
      <c r="J142" s="2">
        <f>IF(COUNTIF(Roster!$D142:$M142,J$1)&gt;0,$B142,0)</f>
        <v>0</v>
      </c>
      <c r="K142" s="2">
        <f>IF(COUNTIF(Roster!$D142:$M142,K$1)&gt;0,$B142,0)</f>
        <v>0</v>
      </c>
      <c r="L142" s="2">
        <f>IF(COUNTIF(Roster!$D142:$M142,L$1)&gt;0,$B142,0)</f>
        <v>0</v>
      </c>
      <c r="M142" s="2">
        <f>IF(COUNTIF(Roster!$D142:$M142,M$1)&gt;0,$B142,0)</f>
        <v>0</v>
      </c>
      <c r="N142" s="2">
        <f>IF(COUNTIF(Roster!$D142:$M142,N$1)&gt;0,$B142,0)</f>
        <v>0</v>
      </c>
      <c r="O142" s="2">
        <f>IF(COUNTIF(Roster!$D142:$M142,O$1)&gt;0,$B142,0)</f>
        <v>0</v>
      </c>
      <c r="P142" s="2">
        <f>IF(COUNTIF(Roster!$D142:$M142,P$1)&gt;0,$B142,0)</f>
        <v>0</v>
      </c>
      <c r="Q142" s="2">
        <f>IF(COUNTIF(Roster!$D142:$M142,Q$1)&gt;0,$B142,0)</f>
        <v>0</v>
      </c>
      <c r="R142" s="2">
        <f>IF(COUNTIF(Roster!$D142:$M142,R$1)&gt;0,$B142,0)</f>
        <v>0</v>
      </c>
      <c r="S142" s="2">
        <f>IF(COUNTIF(Roster!$D142:$M142,S$1)&gt;0,$B142,0)</f>
        <v>0</v>
      </c>
      <c r="T142" s="2">
        <f>IF(COUNTIF(Roster!$D142:$M142,T$1)&gt;0,$B142,0)</f>
        <v>0</v>
      </c>
      <c r="U142" s="2">
        <f>IF(COUNTIF(Roster!$D142:$M142,U$1)&gt;0,$B142,0)</f>
        <v>0</v>
      </c>
      <c r="V142" s="2">
        <f>IF(COUNTIF(Roster!$D142:$M142,V$1)&gt;0,$B142,0)</f>
        <v>0</v>
      </c>
      <c r="W142" s="2">
        <f>IF(COUNTIF(Roster!$D142:$M142,W$1)&gt;0,$B142,0)</f>
        <v>0</v>
      </c>
      <c r="X142" s="2">
        <f t="shared" si="2"/>
        <v>0</v>
      </c>
    </row>
    <row r="143" spans="1:24" ht="15" customHeight="1" x14ac:dyDescent="0.3">
      <c r="A143" s="2">
        <f>Roster!A143</f>
        <v>142</v>
      </c>
      <c r="B143" s="2">
        <f>Roster!C143</f>
        <v>0</v>
      </c>
      <c r="C143" s="2">
        <f>IF(COUNTIF(Roster!$D143:$M143,C$1)&gt;0,$B143,0)</f>
        <v>0</v>
      </c>
      <c r="D143" s="2">
        <f>IF(COUNTIF(Roster!$D143:$M143,D$1)&gt;0,$B143,0)</f>
        <v>0</v>
      </c>
      <c r="E143" s="2">
        <f>IF(COUNTIF(Roster!$D143:$M143,E$1)&gt;0,$B143,0)</f>
        <v>0</v>
      </c>
      <c r="F143" s="2">
        <f>IF(COUNTIF(Roster!$D143:$M143,F$1)&gt;0,$B143,0)</f>
        <v>0</v>
      </c>
      <c r="G143" s="2">
        <f>IF(COUNTIF(Roster!$D143:$M143,G$1)&gt;0,$B143,0)</f>
        <v>0</v>
      </c>
      <c r="H143" s="2">
        <f>IF(COUNTIF(Roster!$D143:$M143,H$1)&gt;0,$B143,0)</f>
        <v>0</v>
      </c>
      <c r="I143" s="2">
        <f>IF(COUNTIF(Roster!$D143:$M143,I$1)&gt;0,$B143,0)</f>
        <v>0</v>
      </c>
      <c r="J143" s="2">
        <f>IF(COUNTIF(Roster!$D143:$M143,J$1)&gt;0,$B143,0)</f>
        <v>0</v>
      </c>
      <c r="K143" s="2">
        <f>IF(COUNTIF(Roster!$D143:$M143,K$1)&gt;0,$B143,0)</f>
        <v>0</v>
      </c>
      <c r="L143" s="2">
        <f>IF(COUNTIF(Roster!$D143:$M143,L$1)&gt;0,$B143,0)</f>
        <v>0</v>
      </c>
      <c r="M143" s="2">
        <f>IF(COUNTIF(Roster!$D143:$M143,M$1)&gt;0,$B143,0)</f>
        <v>0</v>
      </c>
      <c r="N143" s="2">
        <f>IF(COUNTIF(Roster!$D143:$M143,N$1)&gt;0,$B143,0)</f>
        <v>0</v>
      </c>
      <c r="O143" s="2">
        <f>IF(COUNTIF(Roster!$D143:$M143,O$1)&gt;0,$B143,0)</f>
        <v>0</v>
      </c>
      <c r="P143" s="2">
        <f>IF(COUNTIF(Roster!$D143:$M143,P$1)&gt;0,$B143,0)</f>
        <v>0</v>
      </c>
      <c r="Q143" s="2">
        <f>IF(COUNTIF(Roster!$D143:$M143,Q$1)&gt;0,$B143,0)</f>
        <v>0</v>
      </c>
      <c r="R143" s="2">
        <f>IF(COUNTIF(Roster!$D143:$M143,R$1)&gt;0,$B143,0)</f>
        <v>0</v>
      </c>
      <c r="S143" s="2">
        <f>IF(COUNTIF(Roster!$D143:$M143,S$1)&gt;0,$B143,0)</f>
        <v>0</v>
      </c>
      <c r="T143" s="2">
        <f>IF(COUNTIF(Roster!$D143:$M143,T$1)&gt;0,$B143,0)</f>
        <v>0</v>
      </c>
      <c r="U143" s="2">
        <f>IF(COUNTIF(Roster!$D143:$M143,U$1)&gt;0,$B143,0)</f>
        <v>0</v>
      </c>
      <c r="V143" s="2">
        <f>IF(COUNTIF(Roster!$D143:$M143,V$1)&gt;0,$B143,0)</f>
        <v>0</v>
      </c>
      <c r="W143" s="2">
        <f>IF(COUNTIF(Roster!$D143:$M143,W$1)&gt;0,$B143,0)</f>
        <v>0</v>
      </c>
      <c r="X143" s="2">
        <f t="shared" si="2"/>
        <v>0</v>
      </c>
    </row>
    <row r="144" spans="1:24" ht="15" customHeight="1" x14ac:dyDescent="0.3">
      <c r="A144" s="2">
        <f>Roster!A144</f>
        <v>143</v>
      </c>
      <c r="B144" s="2">
        <f>Roster!C144</f>
        <v>0</v>
      </c>
      <c r="C144" s="2">
        <f>IF(COUNTIF(Roster!$D144:$M144,C$1)&gt;0,$B144,0)</f>
        <v>0</v>
      </c>
      <c r="D144" s="2">
        <f>IF(COUNTIF(Roster!$D144:$M144,D$1)&gt;0,$B144,0)</f>
        <v>0</v>
      </c>
      <c r="E144" s="2">
        <f>IF(COUNTIF(Roster!$D144:$M144,E$1)&gt;0,$B144,0)</f>
        <v>0</v>
      </c>
      <c r="F144" s="2">
        <f>IF(COUNTIF(Roster!$D144:$M144,F$1)&gt;0,$B144,0)</f>
        <v>0</v>
      </c>
      <c r="G144" s="2">
        <f>IF(COUNTIF(Roster!$D144:$M144,G$1)&gt;0,$B144,0)</f>
        <v>0</v>
      </c>
      <c r="H144" s="2">
        <f>IF(COUNTIF(Roster!$D144:$M144,H$1)&gt;0,$B144,0)</f>
        <v>0</v>
      </c>
      <c r="I144" s="2">
        <f>IF(COUNTIF(Roster!$D144:$M144,I$1)&gt;0,$B144,0)</f>
        <v>0</v>
      </c>
      <c r="J144" s="2">
        <f>IF(COUNTIF(Roster!$D144:$M144,J$1)&gt;0,$B144,0)</f>
        <v>0</v>
      </c>
      <c r="K144" s="2">
        <f>IF(COUNTIF(Roster!$D144:$M144,K$1)&gt;0,$B144,0)</f>
        <v>0</v>
      </c>
      <c r="L144" s="2">
        <f>IF(COUNTIF(Roster!$D144:$M144,L$1)&gt;0,$B144,0)</f>
        <v>0</v>
      </c>
      <c r="M144" s="2">
        <f>IF(COUNTIF(Roster!$D144:$M144,M$1)&gt;0,$B144,0)</f>
        <v>0</v>
      </c>
      <c r="N144" s="2">
        <f>IF(COUNTIF(Roster!$D144:$M144,N$1)&gt;0,$B144,0)</f>
        <v>0</v>
      </c>
      <c r="O144" s="2">
        <f>IF(COUNTIF(Roster!$D144:$M144,O$1)&gt;0,$B144,0)</f>
        <v>0</v>
      </c>
      <c r="P144" s="2">
        <f>IF(COUNTIF(Roster!$D144:$M144,P$1)&gt;0,$B144,0)</f>
        <v>0</v>
      </c>
      <c r="Q144" s="2">
        <f>IF(COUNTIF(Roster!$D144:$M144,Q$1)&gt;0,$B144,0)</f>
        <v>0</v>
      </c>
      <c r="R144" s="2">
        <f>IF(COUNTIF(Roster!$D144:$M144,R$1)&gt;0,$B144,0)</f>
        <v>0</v>
      </c>
      <c r="S144" s="2">
        <f>IF(COUNTIF(Roster!$D144:$M144,S$1)&gt;0,$B144,0)</f>
        <v>0</v>
      </c>
      <c r="T144" s="2">
        <f>IF(COUNTIF(Roster!$D144:$M144,T$1)&gt;0,$B144,0)</f>
        <v>0</v>
      </c>
      <c r="U144" s="2">
        <f>IF(COUNTIF(Roster!$D144:$M144,U$1)&gt;0,$B144,0)</f>
        <v>0</v>
      </c>
      <c r="V144" s="2">
        <f>IF(COUNTIF(Roster!$D144:$M144,V$1)&gt;0,$B144,0)</f>
        <v>0</v>
      </c>
      <c r="W144" s="2">
        <f>IF(COUNTIF(Roster!$D144:$M144,W$1)&gt;0,$B144,0)</f>
        <v>0</v>
      </c>
      <c r="X144" s="2">
        <f t="shared" si="2"/>
        <v>0</v>
      </c>
    </row>
    <row r="145" spans="1:24" ht="15" customHeight="1" x14ac:dyDescent="0.3">
      <c r="A145" s="2">
        <f>Roster!A145</f>
        <v>144</v>
      </c>
      <c r="B145" s="2">
        <f>Roster!C145</f>
        <v>0</v>
      </c>
      <c r="C145" s="2">
        <f>IF(COUNTIF(Roster!$D145:$M145,C$1)&gt;0,$B145,0)</f>
        <v>0</v>
      </c>
      <c r="D145" s="2">
        <f>IF(COUNTIF(Roster!$D145:$M145,D$1)&gt;0,$B145,0)</f>
        <v>0</v>
      </c>
      <c r="E145" s="2">
        <f>IF(COUNTIF(Roster!$D145:$M145,E$1)&gt;0,$B145,0)</f>
        <v>0</v>
      </c>
      <c r="F145" s="2">
        <f>IF(COUNTIF(Roster!$D145:$M145,F$1)&gt;0,$B145,0)</f>
        <v>0</v>
      </c>
      <c r="G145" s="2">
        <f>IF(COUNTIF(Roster!$D145:$M145,G$1)&gt;0,$B145,0)</f>
        <v>0</v>
      </c>
      <c r="H145" s="2">
        <f>IF(COUNTIF(Roster!$D145:$M145,H$1)&gt;0,$B145,0)</f>
        <v>0</v>
      </c>
      <c r="I145" s="2">
        <f>IF(COUNTIF(Roster!$D145:$M145,I$1)&gt;0,$B145,0)</f>
        <v>0</v>
      </c>
      <c r="J145" s="2">
        <f>IF(COUNTIF(Roster!$D145:$M145,J$1)&gt;0,$B145,0)</f>
        <v>0</v>
      </c>
      <c r="K145" s="2">
        <f>IF(COUNTIF(Roster!$D145:$M145,K$1)&gt;0,$B145,0)</f>
        <v>0</v>
      </c>
      <c r="L145" s="2">
        <f>IF(COUNTIF(Roster!$D145:$M145,L$1)&gt;0,$B145,0)</f>
        <v>0</v>
      </c>
      <c r="M145" s="2">
        <f>IF(COUNTIF(Roster!$D145:$M145,M$1)&gt;0,$B145,0)</f>
        <v>0</v>
      </c>
      <c r="N145" s="2">
        <f>IF(COUNTIF(Roster!$D145:$M145,N$1)&gt;0,$B145,0)</f>
        <v>0</v>
      </c>
      <c r="O145" s="2">
        <f>IF(COUNTIF(Roster!$D145:$M145,O$1)&gt;0,$B145,0)</f>
        <v>0</v>
      </c>
      <c r="P145" s="2">
        <f>IF(COUNTIF(Roster!$D145:$M145,P$1)&gt;0,$B145,0)</f>
        <v>0</v>
      </c>
      <c r="Q145" s="2">
        <f>IF(COUNTIF(Roster!$D145:$M145,Q$1)&gt;0,$B145,0)</f>
        <v>0</v>
      </c>
      <c r="R145" s="2">
        <f>IF(COUNTIF(Roster!$D145:$M145,R$1)&gt;0,$B145,0)</f>
        <v>0</v>
      </c>
      <c r="S145" s="2">
        <f>IF(COUNTIF(Roster!$D145:$M145,S$1)&gt;0,$B145,0)</f>
        <v>0</v>
      </c>
      <c r="T145" s="2">
        <f>IF(COUNTIF(Roster!$D145:$M145,T$1)&gt;0,$B145,0)</f>
        <v>0</v>
      </c>
      <c r="U145" s="2">
        <f>IF(COUNTIF(Roster!$D145:$M145,U$1)&gt;0,$B145,0)</f>
        <v>0</v>
      </c>
      <c r="V145" s="2">
        <f>IF(COUNTIF(Roster!$D145:$M145,V$1)&gt;0,$B145,0)</f>
        <v>0</v>
      </c>
      <c r="W145" s="2">
        <f>IF(COUNTIF(Roster!$D145:$M145,W$1)&gt;0,$B145,0)</f>
        <v>0</v>
      </c>
      <c r="X145" s="2">
        <f t="shared" si="2"/>
        <v>0</v>
      </c>
    </row>
    <row r="146" spans="1:24" ht="15" customHeight="1" x14ac:dyDescent="0.3">
      <c r="A146" s="2">
        <f>Roster!A146</f>
        <v>145</v>
      </c>
      <c r="B146" s="2">
        <f>Roster!C146</f>
        <v>0</v>
      </c>
      <c r="C146" s="2">
        <f>IF(COUNTIF(Roster!$D146:$M146,C$1)&gt;0,$B146,0)</f>
        <v>0</v>
      </c>
      <c r="D146" s="2">
        <f>IF(COUNTIF(Roster!$D146:$M146,D$1)&gt;0,$B146,0)</f>
        <v>0</v>
      </c>
      <c r="E146" s="2">
        <f>IF(COUNTIF(Roster!$D146:$M146,E$1)&gt;0,$B146,0)</f>
        <v>0</v>
      </c>
      <c r="F146" s="2">
        <f>IF(COUNTIF(Roster!$D146:$M146,F$1)&gt;0,$B146,0)</f>
        <v>0</v>
      </c>
      <c r="G146" s="2">
        <f>IF(COUNTIF(Roster!$D146:$M146,G$1)&gt;0,$B146,0)</f>
        <v>0</v>
      </c>
      <c r="H146" s="2">
        <f>IF(COUNTIF(Roster!$D146:$M146,H$1)&gt;0,$B146,0)</f>
        <v>0</v>
      </c>
      <c r="I146" s="2">
        <f>IF(COUNTIF(Roster!$D146:$M146,I$1)&gt;0,$B146,0)</f>
        <v>0</v>
      </c>
      <c r="J146" s="2">
        <f>IF(COUNTIF(Roster!$D146:$M146,J$1)&gt;0,$B146,0)</f>
        <v>0</v>
      </c>
      <c r="K146" s="2">
        <f>IF(COUNTIF(Roster!$D146:$M146,K$1)&gt;0,$B146,0)</f>
        <v>0</v>
      </c>
      <c r="L146" s="2">
        <f>IF(COUNTIF(Roster!$D146:$M146,L$1)&gt;0,$B146,0)</f>
        <v>0</v>
      </c>
      <c r="M146" s="2">
        <f>IF(COUNTIF(Roster!$D146:$M146,M$1)&gt;0,$B146,0)</f>
        <v>0</v>
      </c>
      <c r="N146" s="2">
        <f>IF(COUNTIF(Roster!$D146:$M146,N$1)&gt;0,$B146,0)</f>
        <v>0</v>
      </c>
      <c r="O146" s="2">
        <f>IF(COUNTIF(Roster!$D146:$M146,O$1)&gt;0,$B146,0)</f>
        <v>0</v>
      </c>
      <c r="P146" s="2">
        <f>IF(COUNTIF(Roster!$D146:$M146,P$1)&gt;0,$B146,0)</f>
        <v>0</v>
      </c>
      <c r="Q146" s="2">
        <f>IF(COUNTIF(Roster!$D146:$M146,Q$1)&gt;0,$B146,0)</f>
        <v>0</v>
      </c>
      <c r="R146" s="2">
        <f>IF(COUNTIF(Roster!$D146:$M146,R$1)&gt;0,$B146,0)</f>
        <v>0</v>
      </c>
      <c r="S146" s="2">
        <f>IF(COUNTIF(Roster!$D146:$M146,S$1)&gt;0,$B146,0)</f>
        <v>0</v>
      </c>
      <c r="T146" s="2">
        <f>IF(COUNTIF(Roster!$D146:$M146,T$1)&gt;0,$B146,0)</f>
        <v>0</v>
      </c>
      <c r="U146" s="2">
        <f>IF(COUNTIF(Roster!$D146:$M146,U$1)&gt;0,$B146,0)</f>
        <v>0</v>
      </c>
      <c r="V146" s="2">
        <f>IF(COUNTIF(Roster!$D146:$M146,V$1)&gt;0,$B146,0)</f>
        <v>0</v>
      </c>
      <c r="W146" s="2">
        <f>IF(COUNTIF(Roster!$D146:$M146,W$1)&gt;0,$B146,0)</f>
        <v>0</v>
      </c>
      <c r="X146" s="2">
        <f t="shared" si="2"/>
        <v>0</v>
      </c>
    </row>
    <row r="147" spans="1:24" ht="15" customHeight="1" x14ac:dyDescent="0.3">
      <c r="A147" s="2">
        <f>Roster!A147</f>
        <v>146</v>
      </c>
      <c r="B147" s="2">
        <f>Roster!C147</f>
        <v>0</v>
      </c>
      <c r="C147" s="2">
        <f>IF(COUNTIF(Roster!$D147:$M147,C$1)&gt;0,$B147,0)</f>
        <v>0</v>
      </c>
      <c r="D147" s="2">
        <f>IF(COUNTIF(Roster!$D147:$M147,D$1)&gt;0,$B147,0)</f>
        <v>0</v>
      </c>
      <c r="E147" s="2">
        <f>IF(COUNTIF(Roster!$D147:$M147,E$1)&gt;0,$B147,0)</f>
        <v>0</v>
      </c>
      <c r="F147" s="2">
        <f>IF(COUNTIF(Roster!$D147:$M147,F$1)&gt;0,$B147,0)</f>
        <v>0</v>
      </c>
      <c r="G147" s="2">
        <f>IF(COUNTIF(Roster!$D147:$M147,G$1)&gt;0,$B147,0)</f>
        <v>0</v>
      </c>
      <c r="H147" s="2">
        <f>IF(COUNTIF(Roster!$D147:$M147,H$1)&gt;0,$B147,0)</f>
        <v>0</v>
      </c>
      <c r="I147" s="2">
        <f>IF(COUNTIF(Roster!$D147:$M147,I$1)&gt;0,$B147,0)</f>
        <v>0</v>
      </c>
      <c r="J147" s="2">
        <f>IF(COUNTIF(Roster!$D147:$M147,J$1)&gt;0,$B147,0)</f>
        <v>0</v>
      </c>
      <c r="K147" s="2">
        <f>IF(COUNTIF(Roster!$D147:$M147,K$1)&gt;0,$B147,0)</f>
        <v>0</v>
      </c>
      <c r="L147" s="2">
        <f>IF(COUNTIF(Roster!$D147:$M147,L$1)&gt;0,$B147,0)</f>
        <v>0</v>
      </c>
      <c r="M147" s="2">
        <f>IF(COUNTIF(Roster!$D147:$M147,M$1)&gt;0,$B147,0)</f>
        <v>0</v>
      </c>
      <c r="N147" s="2">
        <f>IF(COUNTIF(Roster!$D147:$M147,N$1)&gt;0,$B147,0)</f>
        <v>0</v>
      </c>
      <c r="O147" s="2">
        <f>IF(COUNTIF(Roster!$D147:$M147,O$1)&gt;0,$B147,0)</f>
        <v>0</v>
      </c>
      <c r="P147" s="2">
        <f>IF(COUNTIF(Roster!$D147:$M147,P$1)&gt;0,$B147,0)</f>
        <v>0</v>
      </c>
      <c r="Q147" s="2">
        <f>IF(COUNTIF(Roster!$D147:$M147,Q$1)&gt;0,$B147,0)</f>
        <v>0</v>
      </c>
      <c r="R147" s="2">
        <f>IF(COUNTIF(Roster!$D147:$M147,R$1)&gt;0,$B147,0)</f>
        <v>0</v>
      </c>
      <c r="S147" s="2">
        <f>IF(COUNTIF(Roster!$D147:$M147,S$1)&gt;0,$B147,0)</f>
        <v>0</v>
      </c>
      <c r="T147" s="2">
        <f>IF(COUNTIF(Roster!$D147:$M147,T$1)&gt;0,$B147,0)</f>
        <v>0</v>
      </c>
      <c r="U147" s="2">
        <f>IF(COUNTIF(Roster!$D147:$M147,U$1)&gt;0,$B147,0)</f>
        <v>0</v>
      </c>
      <c r="V147" s="2">
        <f>IF(COUNTIF(Roster!$D147:$M147,V$1)&gt;0,$B147,0)</f>
        <v>0</v>
      </c>
      <c r="W147" s="2">
        <f>IF(COUNTIF(Roster!$D147:$M147,W$1)&gt;0,$B147,0)</f>
        <v>0</v>
      </c>
      <c r="X147" s="2">
        <f t="shared" si="2"/>
        <v>0</v>
      </c>
    </row>
    <row r="148" spans="1:24" ht="15" customHeight="1" x14ac:dyDescent="0.3">
      <c r="A148" s="2">
        <f>Roster!A148</f>
        <v>147</v>
      </c>
      <c r="B148" s="2">
        <f>Roster!C148</f>
        <v>0</v>
      </c>
      <c r="C148" s="2">
        <f>IF(COUNTIF(Roster!$D148:$M148,C$1)&gt;0,$B148,0)</f>
        <v>0</v>
      </c>
      <c r="D148" s="2">
        <f>IF(COUNTIF(Roster!$D148:$M148,D$1)&gt;0,$B148,0)</f>
        <v>0</v>
      </c>
      <c r="E148" s="2">
        <f>IF(COUNTIF(Roster!$D148:$M148,E$1)&gt;0,$B148,0)</f>
        <v>0</v>
      </c>
      <c r="F148" s="2">
        <f>IF(COUNTIF(Roster!$D148:$M148,F$1)&gt;0,$B148,0)</f>
        <v>0</v>
      </c>
      <c r="G148" s="2">
        <f>IF(COUNTIF(Roster!$D148:$M148,G$1)&gt;0,$B148,0)</f>
        <v>0</v>
      </c>
      <c r="H148" s="2">
        <f>IF(COUNTIF(Roster!$D148:$M148,H$1)&gt;0,$B148,0)</f>
        <v>0</v>
      </c>
      <c r="I148" s="2">
        <f>IF(COUNTIF(Roster!$D148:$M148,I$1)&gt;0,$B148,0)</f>
        <v>0</v>
      </c>
      <c r="J148" s="2">
        <f>IF(COUNTIF(Roster!$D148:$M148,J$1)&gt;0,$B148,0)</f>
        <v>0</v>
      </c>
      <c r="K148" s="2">
        <f>IF(COUNTIF(Roster!$D148:$M148,K$1)&gt;0,$B148,0)</f>
        <v>0</v>
      </c>
      <c r="L148" s="2">
        <f>IF(COUNTIF(Roster!$D148:$M148,L$1)&gt;0,$B148,0)</f>
        <v>0</v>
      </c>
      <c r="M148" s="2">
        <f>IF(COUNTIF(Roster!$D148:$M148,M$1)&gt;0,$B148,0)</f>
        <v>0</v>
      </c>
      <c r="N148" s="2">
        <f>IF(COUNTIF(Roster!$D148:$M148,N$1)&gt;0,$B148,0)</f>
        <v>0</v>
      </c>
      <c r="O148" s="2">
        <f>IF(COUNTIF(Roster!$D148:$M148,O$1)&gt;0,$B148,0)</f>
        <v>0</v>
      </c>
      <c r="P148" s="2">
        <f>IF(COUNTIF(Roster!$D148:$M148,P$1)&gt;0,$B148,0)</f>
        <v>0</v>
      </c>
      <c r="Q148" s="2">
        <f>IF(COUNTIF(Roster!$D148:$M148,Q$1)&gt;0,$B148,0)</f>
        <v>0</v>
      </c>
      <c r="R148" s="2">
        <f>IF(COUNTIF(Roster!$D148:$M148,R$1)&gt;0,$B148,0)</f>
        <v>0</v>
      </c>
      <c r="S148" s="2">
        <f>IF(COUNTIF(Roster!$D148:$M148,S$1)&gt;0,$B148,0)</f>
        <v>0</v>
      </c>
      <c r="T148" s="2">
        <f>IF(COUNTIF(Roster!$D148:$M148,T$1)&gt;0,$B148,0)</f>
        <v>0</v>
      </c>
      <c r="U148" s="2">
        <f>IF(COUNTIF(Roster!$D148:$M148,U$1)&gt;0,$B148,0)</f>
        <v>0</v>
      </c>
      <c r="V148" s="2">
        <f>IF(COUNTIF(Roster!$D148:$M148,V$1)&gt;0,$B148,0)</f>
        <v>0</v>
      </c>
      <c r="W148" s="2">
        <f>IF(COUNTIF(Roster!$D148:$M148,W$1)&gt;0,$B148,0)</f>
        <v>0</v>
      </c>
      <c r="X148" s="2">
        <f t="shared" si="2"/>
        <v>0</v>
      </c>
    </row>
    <row r="149" spans="1:24" ht="15" customHeight="1" x14ac:dyDescent="0.3">
      <c r="A149" s="2">
        <f>Roster!A149</f>
        <v>148</v>
      </c>
      <c r="B149" s="2">
        <f>Roster!C149</f>
        <v>0</v>
      </c>
      <c r="C149" s="2">
        <f>IF(COUNTIF(Roster!$D149:$M149,C$1)&gt;0,$B149,0)</f>
        <v>0</v>
      </c>
      <c r="D149" s="2">
        <f>IF(COUNTIF(Roster!$D149:$M149,D$1)&gt;0,$B149,0)</f>
        <v>0</v>
      </c>
      <c r="E149" s="2">
        <f>IF(COUNTIF(Roster!$D149:$M149,E$1)&gt;0,$B149,0)</f>
        <v>0</v>
      </c>
      <c r="F149" s="2">
        <f>IF(COUNTIF(Roster!$D149:$M149,F$1)&gt;0,$B149,0)</f>
        <v>0</v>
      </c>
      <c r="G149" s="2">
        <f>IF(COUNTIF(Roster!$D149:$M149,G$1)&gt;0,$B149,0)</f>
        <v>0</v>
      </c>
      <c r="H149" s="2">
        <f>IF(COUNTIF(Roster!$D149:$M149,H$1)&gt;0,$B149,0)</f>
        <v>0</v>
      </c>
      <c r="I149" s="2">
        <f>IF(COUNTIF(Roster!$D149:$M149,I$1)&gt;0,$B149,0)</f>
        <v>0</v>
      </c>
      <c r="J149" s="2">
        <f>IF(COUNTIF(Roster!$D149:$M149,J$1)&gt;0,$B149,0)</f>
        <v>0</v>
      </c>
      <c r="K149" s="2">
        <f>IF(COUNTIF(Roster!$D149:$M149,K$1)&gt;0,$B149,0)</f>
        <v>0</v>
      </c>
      <c r="L149" s="2">
        <f>IF(COUNTIF(Roster!$D149:$M149,L$1)&gt;0,$B149,0)</f>
        <v>0</v>
      </c>
      <c r="M149" s="2">
        <f>IF(COUNTIF(Roster!$D149:$M149,M$1)&gt;0,$B149,0)</f>
        <v>0</v>
      </c>
      <c r="N149" s="2">
        <f>IF(COUNTIF(Roster!$D149:$M149,N$1)&gt;0,$B149,0)</f>
        <v>0</v>
      </c>
      <c r="O149" s="2">
        <f>IF(COUNTIF(Roster!$D149:$M149,O$1)&gt;0,$B149,0)</f>
        <v>0</v>
      </c>
      <c r="P149" s="2">
        <f>IF(COUNTIF(Roster!$D149:$M149,P$1)&gt;0,$B149,0)</f>
        <v>0</v>
      </c>
      <c r="Q149" s="2">
        <f>IF(COUNTIF(Roster!$D149:$M149,Q$1)&gt;0,$B149,0)</f>
        <v>0</v>
      </c>
      <c r="R149" s="2">
        <f>IF(COUNTIF(Roster!$D149:$M149,R$1)&gt;0,$B149,0)</f>
        <v>0</v>
      </c>
      <c r="S149" s="2">
        <f>IF(COUNTIF(Roster!$D149:$M149,S$1)&gt;0,$B149,0)</f>
        <v>0</v>
      </c>
      <c r="T149" s="2">
        <f>IF(COUNTIF(Roster!$D149:$M149,T$1)&gt;0,$B149,0)</f>
        <v>0</v>
      </c>
      <c r="U149" s="2">
        <f>IF(COUNTIF(Roster!$D149:$M149,U$1)&gt;0,$B149,0)</f>
        <v>0</v>
      </c>
      <c r="V149" s="2">
        <f>IF(COUNTIF(Roster!$D149:$M149,V$1)&gt;0,$B149,0)</f>
        <v>0</v>
      </c>
      <c r="W149" s="2">
        <f>IF(COUNTIF(Roster!$D149:$M149,W$1)&gt;0,$B149,0)</f>
        <v>0</v>
      </c>
      <c r="X149" s="2">
        <f t="shared" si="2"/>
        <v>0</v>
      </c>
    </row>
    <row r="150" spans="1:24" ht="15" customHeight="1" x14ac:dyDescent="0.3">
      <c r="A150" s="2">
        <f>Roster!A150</f>
        <v>149</v>
      </c>
      <c r="B150" s="2">
        <f>Roster!C150</f>
        <v>0</v>
      </c>
      <c r="C150" s="2">
        <f>IF(COUNTIF(Roster!$D150:$M150,C$1)&gt;0,$B150,0)</f>
        <v>0</v>
      </c>
      <c r="D150" s="2">
        <f>IF(COUNTIF(Roster!$D150:$M150,D$1)&gt;0,$B150,0)</f>
        <v>0</v>
      </c>
      <c r="E150" s="2">
        <f>IF(COUNTIF(Roster!$D150:$M150,E$1)&gt;0,$B150,0)</f>
        <v>0</v>
      </c>
      <c r="F150" s="2">
        <f>IF(COUNTIF(Roster!$D150:$M150,F$1)&gt;0,$B150,0)</f>
        <v>0</v>
      </c>
      <c r="G150" s="2">
        <f>IF(COUNTIF(Roster!$D150:$M150,G$1)&gt;0,$B150,0)</f>
        <v>0</v>
      </c>
      <c r="H150" s="2">
        <f>IF(COUNTIF(Roster!$D150:$M150,H$1)&gt;0,$B150,0)</f>
        <v>0</v>
      </c>
      <c r="I150" s="2">
        <f>IF(COUNTIF(Roster!$D150:$M150,I$1)&gt;0,$B150,0)</f>
        <v>0</v>
      </c>
      <c r="J150" s="2">
        <f>IF(COUNTIF(Roster!$D150:$M150,J$1)&gt;0,$B150,0)</f>
        <v>0</v>
      </c>
      <c r="K150" s="2">
        <f>IF(COUNTIF(Roster!$D150:$M150,K$1)&gt;0,$B150,0)</f>
        <v>0</v>
      </c>
      <c r="L150" s="2">
        <f>IF(COUNTIF(Roster!$D150:$M150,L$1)&gt;0,$B150,0)</f>
        <v>0</v>
      </c>
      <c r="M150" s="2">
        <f>IF(COUNTIF(Roster!$D150:$M150,M$1)&gt;0,$B150,0)</f>
        <v>0</v>
      </c>
      <c r="N150" s="2">
        <f>IF(COUNTIF(Roster!$D150:$M150,N$1)&gt;0,$B150,0)</f>
        <v>0</v>
      </c>
      <c r="O150" s="2">
        <f>IF(COUNTIF(Roster!$D150:$M150,O$1)&gt;0,$B150,0)</f>
        <v>0</v>
      </c>
      <c r="P150" s="2">
        <f>IF(COUNTIF(Roster!$D150:$M150,P$1)&gt;0,$B150,0)</f>
        <v>0</v>
      </c>
      <c r="Q150" s="2">
        <f>IF(COUNTIF(Roster!$D150:$M150,Q$1)&gt;0,$B150,0)</f>
        <v>0</v>
      </c>
      <c r="R150" s="2">
        <f>IF(COUNTIF(Roster!$D150:$M150,R$1)&gt;0,$B150,0)</f>
        <v>0</v>
      </c>
      <c r="S150" s="2">
        <f>IF(COUNTIF(Roster!$D150:$M150,S$1)&gt;0,$B150,0)</f>
        <v>0</v>
      </c>
      <c r="T150" s="2">
        <f>IF(COUNTIF(Roster!$D150:$M150,T$1)&gt;0,$B150,0)</f>
        <v>0</v>
      </c>
      <c r="U150" s="2">
        <f>IF(COUNTIF(Roster!$D150:$M150,U$1)&gt;0,$B150,0)</f>
        <v>0</v>
      </c>
      <c r="V150" s="2">
        <f>IF(COUNTIF(Roster!$D150:$M150,V$1)&gt;0,$B150,0)</f>
        <v>0</v>
      </c>
      <c r="W150" s="2">
        <f>IF(COUNTIF(Roster!$D150:$M150,W$1)&gt;0,$B150,0)</f>
        <v>0</v>
      </c>
      <c r="X150" s="2">
        <f t="shared" si="2"/>
        <v>0</v>
      </c>
    </row>
    <row r="151" spans="1:24" ht="15" customHeight="1" x14ac:dyDescent="0.3">
      <c r="A151" s="2">
        <f>Roster!A151</f>
        <v>150</v>
      </c>
      <c r="B151" s="2">
        <f>Roster!C151</f>
        <v>0</v>
      </c>
      <c r="C151" s="2">
        <f>IF(COUNTIF(Roster!$D151:$M151,C$1)&gt;0,$B151,0)</f>
        <v>0</v>
      </c>
      <c r="D151" s="2">
        <f>IF(COUNTIF(Roster!$D151:$M151,D$1)&gt;0,$B151,0)</f>
        <v>0</v>
      </c>
      <c r="E151" s="2">
        <f>IF(COUNTIF(Roster!$D151:$M151,E$1)&gt;0,$B151,0)</f>
        <v>0</v>
      </c>
      <c r="F151" s="2">
        <f>IF(COUNTIF(Roster!$D151:$M151,F$1)&gt;0,$B151,0)</f>
        <v>0</v>
      </c>
      <c r="G151" s="2">
        <f>IF(COUNTIF(Roster!$D151:$M151,G$1)&gt;0,$B151,0)</f>
        <v>0</v>
      </c>
      <c r="H151" s="2">
        <f>IF(COUNTIF(Roster!$D151:$M151,H$1)&gt;0,$B151,0)</f>
        <v>0</v>
      </c>
      <c r="I151" s="2">
        <f>IF(COUNTIF(Roster!$D151:$M151,I$1)&gt;0,$B151,0)</f>
        <v>0</v>
      </c>
      <c r="J151" s="2">
        <f>IF(COUNTIF(Roster!$D151:$M151,J$1)&gt;0,$B151,0)</f>
        <v>0</v>
      </c>
      <c r="K151" s="2">
        <f>IF(COUNTIF(Roster!$D151:$M151,K$1)&gt;0,$B151,0)</f>
        <v>0</v>
      </c>
      <c r="L151" s="2">
        <f>IF(COUNTIF(Roster!$D151:$M151,L$1)&gt;0,$B151,0)</f>
        <v>0</v>
      </c>
      <c r="M151" s="2">
        <f>IF(COUNTIF(Roster!$D151:$M151,M$1)&gt;0,$B151,0)</f>
        <v>0</v>
      </c>
      <c r="N151" s="2">
        <f>IF(COUNTIF(Roster!$D151:$M151,N$1)&gt;0,$B151,0)</f>
        <v>0</v>
      </c>
      <c r="O151" s="2">
        <f>IF(COUNTIF(Roster!$D151:$M151,O$1)&gt;0,$B151,0)</f>
        <v>0</v>
      </c>
      <c r="P151" s="2">
        <f>IF(COUNTIF(Roster!$D151:$M151,P$1)&gt;0,$B151,0)</f>
        <v>0</v>
      </c>
      <c r="Q151" s="2">
        <f>IF(COUNTIF(Roster!$D151:$M151,Q$1)&gt;0,$B151,0)</f>
        <v>0</v>
      </c>
      <c r="R151" s="2">
        <f>IF(COUNTIF(Roster!$D151:$M151,R$1)&gt;0,$B151,0)</f>
        <v>0</v>
      </c>
      <c r="S151" s="2">
        <f>IF(COUNTIF(Roster!$D151:$M151,S$1)&gt;0,$B151,0)</f>
        <v>0</v>
      </c>
      <c r="T151" s="2">
        <f>IF(COUNTIF(Roster!$D151:$M151,T$1)&gt;0,$B151,0)</f>
        <v>0</v>
      </c>
      <c r="U151" s="2">
        <f>IF(COUNTIF(Roster!$D151:$M151,U$1)&gt;0,$B151,0)</f>
        <v>0</v>
      </c>
      <c r="V151" s="2">
        <f>IF(COUNTIF(Roster!$D151:$M151,V$1)&gt;0,$B151,0)</f>
        <v>0</v>
      </c>
      <c r="W151" s="2">
        <f>IF(COUNTIF(Roster!$D151:$M151,W$1)&gt;0,$B151,0)</f>
        <v>0</v>
      </c>
      <c r="X151" s="2">
        <f t="shared" si="2"/>
        <v>0</v>
      </c>
    </row>
    <row r="152" spans="1:24" ht="15" customHeight="1" x14ac:dyDescent="0.3">
      <c r="A152" s="2">
        <f>Roster!A152</f>
        <v>151</v>
      </c>
      <c r="B152" s="2">
        <f>Roster!C152</f>
        <v>0</v>
      </c>
      <c r="C152" s="2">
        <f>IF(COUNTIF(Roster!$D152:$M152,C$1)&gt;0,$B152,0)</f>
        <v>0</v>
      </c>
      <c r="D152" s="2">
        <f>IF(COUNTIF(Roster!$D152:$M152,D$1)&gt;0,$B152,0)</f>
        <v>0</v>
      </c>
      <c r="E152" s="2">
        <f>IF(COUNTIF(Roster!$D152:$M152,E$1)&gt;0,$B152,0)</f>
        <v>0</v>
      </c>
      <c r="F152" s="2">
        <f>IF(COUNTIF(Roster!$D152:$M152,F$1)&gt;0,$B152,0)</f>
        <v>0</v>
      </c>
      <c r="G152" s="2">
        <f>IF(COUNTIF(Roster!$D152:$M152,G$1)&gt;0,$B152,0)</f>
        <v>0</v>
      </c>
      <c r="H152" s="2">
        <f>IF(COUNTIF(Roster!$D152:$M152,H$1)&gt;0,$B152,0)</f>
        <v>0</v>
      </c>
      <c r="I152" s="2">
        <f>IF(COUNTIF(Roster!$D152:$M152,I$1)&gt;0,$B152,0)</f>
        <v>0</v>
      </c>
      <c r="J152" s="2">
        <f>IF(COUNTIF(Roster!$D152:$M152,J$1)&gt;0,$B152,0)</f>
        <v>0</v>
      </c>
      <c r="K152" s="2">
        <f>IF(COUNTIF(Roster!$D152:$M152,K$1)&gt;0,$B152,0)</f>
        <v>0</v>
      </c>
      <c r="L152" s="2">
        <f>IF(COUNTIF(Roster!$D152:$M152,L$1)&gt;0,$B152,0)</f>
        <v>0</v>
      </c>
      <c r="M152" s="2">
        <f>IF(COUNTIF(Roster!$D152:$M152,M$1)&gt;0,$B152,0)</f>
        <v>0</v>
      </c>
      <c r="N152" s="2">
        <f>IF(COUNTIF(Roster!$D152:$M152,N$1)&gt;0,$B152,0)</f>
        <v>0</v>
      </c>
      <c r="O152" s="2">
        <f>IF(COUNTIF(Roster!$D152:$M152,O$1)&gt;0,$B152,0)</f>
        <v>0</v>
      </c>
      <c r="P152" s="2">
        <f>IF(COUNTIF(Roster!$D152:$M152,P$1)&gt;0,$B152,0)</f>
        <v>0</v>
      </c>
      <c r="Q152" s="2">
        <f>IF(COUNTIF(Roster!$D152:$M152,Q$1)&gt;0,$B152,0)</f>
        <v>0</v>
      </c>
      <c r="R152" s="2">
        <f>IF(COUNTIF(Roster!$D152:$M152,R$1)&gt;0,$B152,0)</f>
        <v>0</v>
      </c>
      <c r="S152" s="2">
        <f>IF(COUNTIF(Roster!$D152:$M152,S$1)&gt;0,$B152,0)</f>
        <v>0</v>
      </c>
      <c r="T152" s="2">
        <f>IF(COUNTIF(Roster!$D152:$M152,T$1)&gt;0,$B152,0)</f>
        <v>0</v>
      </c>
      <c r="U152" s="2">
        <f>IF(COUNTIF(Roster!$D152:$M152,U$1)&gt;0,$B152,0)</f>
        <v>0</v>
      </c>
      <c r="V152" s="2">
        <f>IF(COUNTIF(Roster!$D152:$M152,V$1)&gt;0,$B152,0)</f>
        <v>0</v>
      </c>
      <c r="W152" s="2">
        <f>IF(COUNTIF(Roster!$D152:$M152,W$1)&gt;0,$B152,0)</f>
        <v>0</v>
      </c>
      <c r="X152" s="2">
        <f t="shared" si="2"/>
        <v>0</v>
      </c>
    </row>
    <row r="153" spans="1:24" ht="15" customHeight="1" x14ac:dyDescent="0.3">
      <c r="A153" s="2">
        <f>Roster!A153</f>
        <v>152</v>
      </c>
      <c r="B153" s="2">
        <f>Roster!C153</f>
        <v>0</v>
      </c>
      <c r="C153" s="2">
        <f>IF(COUNTIF(Roster!$D153:$M153,C$1)&gt;0,$B153,0)</f>
        <v>0</v>
      </c>
      <c r="D153" s="2">
        <f>IF(COUNTIF(Roster!$D153:$M153,D$1)&gt;0,$B153,0)</f>
        <v>0</v>
      </c>
      <c r="E153" s="2">
        <f>IF(COUNTIF(Roster!$D153:$M153,E$1)&gt;0,$B153,0)</f>
        <v>0</v>
      </c>
      <c r="F153" s="2">
        <f>IF(COUNTIF(Roster!$D153:$M153,F$1)&gt;0,$B153,0)</f>
        <v>0</v>
      </c>
      <c r="G153" s="2">
        <f>IF(COUNTIF(Roster!$D153:$M153,G$1)&gt;0,$B153,0)</f>
        <v>0</v>
      </c>
      <c r="H153" s="2">
        <f>IF(COUNTIF(Roster!$D153:$M153,H$1)&gt;0,$B153,0)</f>
        <v>0</v>
      </c>
      <c r="I153" s="2">
        <f>IF(COUNTIF(Roster!$D153:$M153,I$1)&gt;0,$B153,0)</f>
        <v>0</v>
      </c>
      <c r="J153" s="2">
        <f>IF(COUNTIF(Roster!$D153:$M153,J$1)&gt;0,$B153,0)</f>
        <v>0</v>
      </c>
      <c r="K153" s="2">
        <f>IF(COUNTIF(Roster!$D153:$M153,K$1)&gt;0,$B153,0)</f>
        <v>0</v>
      </c>
      <c r="L153" s="2">
        <f>IF(COUNTIF(Roster!$D153:$M153,L$1)&gt;0,$B153,0)</f>
        <v>0</v>
      </c>
      <c r="M153" s="2">
        <f>IF(COUNTIF(Roster!$D153:$M153,M$1)&gt;0,$B153,0)</f>
        <v>0</v>
      </c>
      <c r="N153" s="2">
        <f>IF(COUNTIF(Roster!$D153:$M153,N$1)&gt;0,$B153,0)</f>
        <v>0</v>
      </c>
      <c r="O153" s="2">
        <f>IF(COUNTIF(Roster!$D153:$M153,O$1)&gt;0,$B153,0)</f>
        <v>0</v>
      </c>
      <c r="P153" s="2">
        <f>IF(COUNTIF(Roster!$D153:$M153,P$1)&gt;0,$B153,0)</f>
        <v>0</v>
      </c>
      <c r="Q153" s="2">
        <f>IF(COUNTIF(Roster!$D153:$M153,Q$1)&gt;0,$B153,0)</f>
        <v>0</v>
      </c>
      <c r="R153" s="2">
        <f>IF(COUNTIF(Roster!$D153:$M153,R$1)&gt;0,$B153,0)</f>
        <v>0</v>
      </c>
      <c r="S153" s="2">
        <f>IF(COUNTIF(Roster!$D153:$M153,S$1)&gt;0,$B153,0)</f>
        <v>0</v>
      </c>
      <c r="T153" s="2">
        <f>IF(COUNTIF(Roster!$D153:$M153,T$1)&gt;0,$B153,0)</f>
        <v>0</v>
      </c>
      <c r="U153" s="2">
        <f>IF(COUNTIF(Roster!$D153:$M153,U$1)&gt;0,$B153,0)</f>
        <v>0</v>
      </c>
      <c r="V153" s="2">
        <f>IF(COUNTIF(Roster!$D153:$M153,V$1)&gt;0,$B153,0)</f>
        <v>0</v>
      </c>
      <c r="W153" s="2">
        <f>IF(COUNTIF(Roster!$D153:$M153,W$1)&gt;0,$B153,0)</f>
        <v>0</v>
      </c>
      <c r="X153" s="2">
        <f t="shared" si="2"/>
        <v>0</v>
      </c>
    </row>
    <row r="154" spans="1:24" ht="15" customHeight="1" x14ac:dyDescent="0.3">
      <c r="A154" s="2">
        <f>Roster!A154</f>
        <v>153</v>
      </c>
      <c r="B154" s="2">
        <f>Roster!C154</f>
        <v>0</v>
      </c>
      <c r="C154" s="2">
        <f>IF(COUNTIF(Roster!$D154:$M154,C$1)&gt;0,$B154,0)</f>
        <v>0</v>
      </c>
      <c r="D154" s="2">
        <f>IF(COUNTIF(Roster!$D154:$M154,D$1)&gt;0,$B154,0)</f>
        <v>0</v>
      </c>
      <c r="E154" s="2">
        <f>IF(COUNTIF(Roster!$D154:$M154,E$1)&gt;0,$B154,0)</f>
        <v>0</v>
      </c>
      <c r="F154" s="2">
        <f>IF(COUNTIF(Roster!$D154:$M154,F$1)&gt;0,$B154,0)</f>
        <v>0</v>
      </c>
      <c r="G154" s="2">
        <f>IF(COUNTIF(Roster!$D154:$M154,G$1)&gt;0,$B154,0)</f>
        <v>0</v>
      </c>
      <c r="H154" s="2">
        <f>IF(COUNTIF(Roster!$D154:$M154,H$1)&gt;0,$B154,0)</f>
        <v>0</v>
      </c>
      <c r="I154" s="2">
        <f>IF(COUNTIF(Roster!$D154:$M154,I$1)&gt;0,$B154,0)</f>
        <v>0</v>
      </c>
      <c r="J154" s="2">
        <f>IF(COUNTIF(Roster!$D154:$M154,J$1)&gt;0,$B154,0)</f>
        <v>0</v>
      </c>
      <c r="K154" s="2">
        <f>IF(COUNTIF(Roster!$D154:$M154,K$1)&gt;0,$B154,0)</f>
        <v>0</v>
      </c>
      <c r="L154" s="2">
        <f>IF(COUNTIF(Roster!$D154:$M154,L$1)&gt;0,$B154,0)</f>
        <v>0</v>
      </c>
      <c r="M154" s="2">
        <f>IF(COUNTIF(Roster!$D154:$M154,M$1)&gt;0,$B154,0)</f>
        <v>0</v>
      </c>
      <c r="N154" s="2">
        <f>IF(COUNTIF(Roster!$D154:$M154,N$1)&gt;0,$B154,0)</f>
        <v>0</v>
      </c>
      <c r="O154" s="2">
        <f>IF(COUNTIF(Roster!$D154:$M154,O$1)&gt;0,$B154,0)</f>
        <v>0</v>
      </c>
      <c r="P154" s="2">
        <f>IF(COUNTIF(Roster!$D154:$M154,P$1)&gt;0,$B154,0)</f>
        <v>0</v>
      </c>
      <c r="Q154" s="2">
        <f>IF(COUNTIF(Roster!$D154:$M154,Q$1)&gt;0,$B154,0)</f>
        <v>0</v>
      </c>
      <c r="R154" s="2">
        <f>IF(COUNTIF(Roster!$D154:$M154,R$1)&gt;0,$B154,0)</f>
        <v>0</v>
      </c>
      <c r="S154" s="2">
        <f>IF(COUNTIF(Roster!$D154:$M154,S$1)&gt;0,$B154,0)</f>
        <v>0</v>
      </c>
      <c r="T154" s="2">
        <f>IF(COUNTIF(Roster!$D154:$M154,T$1)&gt;0,$B154,0)</f>
        <v>0</v>
      </c>
      <c r="U154" s="2">
        <f>IF(COUNTIF(Roster!$D154:$M154,U$1)&gt;0,$B154,0)</f>
        <v>0</v>
      </c>
      <c r="V154" s="2">
        <f>IF(COUNTIF(Roster!$D154:$M154,V$1)&gt;0,$B154,0)</f>
        <v>0</v>
      </c>
      <c r="W154" s="2">
        <f>IF(COUNTIF(Roster!$D154:$M154,W$1)&gt;0,$B154,0)</f>
        <v>0</v>
      </c>
      <c r="X154" s="2">
        <f t="shared" si="2"/>
        <v>0</v>
      </c>
    </row>
    <row r="155" spans="1:24" ht="15" customHeight="1" x14ac:dyDescent="0.3">
      <c r="A155" s="2">
        <f>Roster!A155</f>
        <v>154</v>
      </c>
      <c r="B155" s="2">
        <f>Roster!C155</f>
        <v>0</v>
      </c>
      <c r="C155" s="2">
        <f>IF(COUNTIF(Roster!$D155:$M155,C$1)&gt;0,$B155,0)</f>
        <v>0</v>
      </c>
      <c r="D155" s="2">
        <f>IF(COUNTIF(Roster!$D155:$M155,D$1)&gt;0,$B155,0)</f>
        <v>0</v>
      </c>
      <c r="E155" s="2">
        <f>IF(COUNTIF(Roster!$D155:$M155,E$1)&gt;0,$B155,0)</f>
        <v>0</v>
      </c>
      <c r="F155" s="2">
        <f>IF(COUNTIF(Roster!$D155:$M155,F$1)&gt;0,$B155,0)</f>
        <v>0</v>
      </c>
      <c r="G155" s="2">
        <f>IF(COUNTIF(Roster!$D155:$M155,G$1)&gt;0,$B155,0)</f>
        <v>0</v>
      </c>
      <c r="H155" s="2">
        <f>IF(COUNTIF(Roster!$D155:$M155,H$1)&gt;0,$B155,0)</f>
        <v>0</v>
      </c>
      <c r="I155" s="2">
        <f>IF(COUNTIF(Roster!$D155:$M155,I$1)&gt;0,$B155,0)</f>
        <v>0</v>
      </c>
      <c r="J155" s="2">
        <f>IF(COUNTIF(Roster!$D155:$M155,J$1)&gt;0,$B155,0)</f>
        <v>0</v>
      </c>
      <c r="K155" s="2">
        <f>IF(COUNTIF(Roster!$D155:$M155,K$1)&gt;0,$B155,0)</f>
        <v>0</v>
      </c>
      <c r="L155" s="2">
        <f>IF(COUNTIF(Roster!$D155:$M155,L$1)&gt;0,$B155,0)</f>
        <v>0</v>
      </c>
      <c r="M155" s="2">
        <f>IF(COUNTIF(Roster!$D155:$M155,M$1)&gt;0,$B155,0)</f>
        <v>0</v>
      </c>
      <c r="N155" s="2">
        <f>IF(COUNTIF(Roster!$D155:$M155,N$1)&gt;0,$B155,0)</f>
        <v>0</v>
      </c>
      <c r="O155" s="2">
        <f>IF(COUNTIF(Roster!$D155:$M155,O$1)&gt;0,$B155,0)</f>
        <v>0</v>
      </c>
      <c r="P155" s="2">
        <f>IF(COUNTIF(Roster!$D155:$M155,P$1)&gt;0,$B155,0)</f>
        <v>0</v>
      </c>
      <c r="Q155" s="2">
        <f>IF(COUNTIF(Roster!$D155:$M155,Q$1)&gt;0,$B155,0)</f>
        <v>0</v>
      </c>
      <c r="R155" s="2">
        <f>IF(COUNTIF(Roster!$D155:$M155,R$1)&gt;0,$B155,0)</f>
        <v>0</v>
      </c>
      <c r="S155" s="2">
        <f>IF(COUNTIF(Roster!$D155:$M155,S$1)&gt;0,$B155,0)</f>
        <v>0</v>
      </c>
      <c r="T155" s="2">
        <f>IF(COUNTIF(Roster!$D155:$M155,T$1)&gt;0,$B155,0)</f>
        <v>0</v>
      </c>
      <c r="U155" s="2">
        <f>IF(COUNTIF(Roster!$D155:$M155,U$1)&gt;0,$B155,0)</f>
        <v>0</v>
      </c>
      <c r="V155" s="2">
        <f>IF(COUNTIF(Roster!$D155:$M155,V$1)&gt;0,$B155,0)</f>
        <v>0</v>
      </c>
      <c r="W155" s="2">
        <f>IF(COUNTIF(Roster!$D155:$M155,W$1)&gt;0,$B155,0)</f>
        <v>0</v>
      </c>
      <c r="X155" s="2">
        <f t="shared" si="2"/>
        <v>0</v>
      </c>
    </row>
    <row r="156" spans="1:24" ht="15" customHeight="1" x14ac:dyDescent="0.3">
      <c r="A156" s="2">
        <f>Roster!A156</f>
        <v>155</v>
      </c>
      <c r="B156" s="2">
        <f>Roster!C156</f>
        <v>0</v>
      </c>
      <c r="C156" s="2">
        <f>IF(COUNTIF(Roster!$D156:$M156,C$1)&gt;0,$B156,0)</f>
        <v>0</v>
      </c>
      <c r="D156" s="2">
        <f>IF(COUNTIF(Roster!$D156:$M156,D$1)&gt;0,$B156,0)</f>
        <v>0</v>
      </c>
      <c r="E156" s="2">
        <f>IF(COUNTIF(Roster!$D156:$M156,E$1)&gt;0,$B156,0)</f>
        <v>0</v>
      </c>
      <c r="F156" s="2">
        <f>IF(COUNTIF(Roster!$D156:$M156,F$1)&gt;0,$B156,0)</f>
        <v>0</v>
      </c>
      <c r="G156" s="2">
        <f>IF(COUNTIF(Roster!$D156:$M156,G$1)&gt;0,$B156,0)</f>
        <v>0</v>
      </c>
      <c r="H156" s="2">
        <f>IF(COUNTIF(Roster!$D156:$M156,H$1)&gt;0,$B156,0)</f>
        <v>0</v>
      </c>
      <c r="I156" s="2">
        <f>IF(COUNTIF(Roster!$D156:$M156,I$1)&gt;0,$B156,0)</f>
        <v>0</v>
      </c>
      <c r="J156" s="2">
        <f>IF(COUNTIF(Roster!$D156:$M156,J$1)&gt;0,$B156,0)</f>
        <v>0</v>
      </c>
      <c r="K156" s="2">
        <f>IF(COUNTIF(Roster!$D156:$M156,K$1)&gt;0,$B156,0)</f>
        <v>0</v>
      </c>
      <c r="L156" s="2">
        <f>IF(COUNTIF(Roster!$D156:$M156,L$1)&gt;0,$B156,0)</f>
        <v>0</v>
      </c>
      <c r="M156" s="2">
        <f>IF(COUNTIF(Roster!$D156:$M156,M$1)&gt;0,$B156,0)</f>
        <v>0</v>
      </c>
      <c r="N156" s="2">
        <f>IF(COUNTIF(Roster!$D156:$M156,N$1)&gt;0,$B156,0)</f>
        <v>0</v>
      </c>
      <c r="O156" s="2">
        <f>IF(COUNTIF(Roster!$D156:$M156,O$1)&gt;0,$B156,0)</f>
        <v>0</v>
      </c>
      <c r="P156" s="2">
        <f>IF(COUNTIF(Roster!$D156:$M156,P$1)&gt;0,$B156,0)</f>
        <v>0</v>
      </c>
      <c r="Q156" s="2">
        <f>IF(COUNTIF(Roster!$D156:$M156,Q$1)&gt;0,$B156,0)</f>
        <v>0</v>
      </c>
      <c r="R156" s="2">
        <f>IF(COUNTIF(Roster!$D156:$M156,R$1)&gt;0,$B156,0)</f>
        <v>0</v>
      </c>
      <c r="S156" s="2">
        <f>IF(COUNTIF(Roster!$D156:$M156,S$1)&gt;0,$B156,0)</f>
        <v>0</v>
      </c>
      <c r="T156" s="2">
        <f>IF(COUNTIF(Roster!$D156:$M156,T$1)&gt;0,$B156,0)</f>
        <v>0</v>
      </c>
      <c r="U156" s="2">
        <f>IF(COUNTIF(Roster!$D156:$M156,U$1)&gt;0,$B156,0)</f>
        <v>0</v>
      </c>
      <c r="V156" s="2">
        <f>IF(COUNTIF(Roster!$D156:$M156,V$1)&gt;0,$B156,0)</f>
        <v>0</v>
      </c>
      <c r="W156" s="2">
        <f>IF(COUNTIF(Roster!$D156:$M156,W$1)&gt;0,$B156,0)</f>
        <v>0</v>
      </c>
      <c r="X156" s="2">
        <f t="shared" si="2"/>
        <v>0</v>
      </c>
    </row>
    <row r="157" spans="1:24" ht="15" customHeight="1" x14ac:dyDescent="0.3">
      <c r="A157" s="2">
        <f>Roster!A157</f>
        <v>156</v>
      </c>
      <c r="B157" s="2">
        <f>Roster!C157</f>
        <v>0</v>
      </c>
      <c r="C157" s="2">
        <f>IF(COUNTIF(Roster!$D157:$M157,C$1)&gt;0,$B157,0)</f>
        <v>0</v>
      </c>
      <c r="D157" s="2">
        <f>IF(COUNTIF(Roster!$D157:$M157,D$1)&gt;0,$B157,0)</f>
        <v>0</v>
      </c>
      <c r="E157" s="2">
        <f>IF(COUNTIF(Roster!$D157:$M157,E$1)&gt;0,$B157,0)</f>
        <v>0</v>
      </c>
      <c r="F157" s="2">
        <f>IF(COUNTIF(Roster!$D157:$M157,F$1)&gt;0,$B157,0)</f>
        <v>0</v>
      </c>
      <c r="G157" s="2">
        <f>IF(COUNTIF(Roster!$D157:$M157,G$1)&gt;0,$B157,0)</f>
        <v>0</v>
      </c>
      <c r="H157" s="2">
        <f>IF(COUNTIF(Roster!$D157:$M157,H$1)&gt;0,$B157,0)</f>
        <v>0</v>
      </c>
      <c r="I157" s="2">
        <f>IF(COUNTIF(Roster!$D157:$M157,I$1)&gt;0,$B157,0)</f>
        <v>0</v>
      </c>
      <c r="J157" s="2">
        <f>IF(COUNTIF(Roster!$D157:$M157,J$1)&gt;0,$B157,0)</f>
        <v>0</v>
      </c>
      <c r="K157" s="2">
        <f>IF(COUNTIF(Roster!$D157:$M157,K$1)&gt;0,$B157,0)</f>
        <v>0</v>
      </c>
      <c r="L157" s="2">
        <f>IF(COUNTIF(Roster!$D157:$M157,L$1)&gt;0,$B157,0)</f>
        <v>0</v>
      </c>
      <c r="M157" s="2">
        <f>IF(COUNTIF(Roster!$D157:$M157,M$1)&gt;0,$B157,0)</f>
        <v>0</v>
      </c>
      <c r="N157" s="2">
        <f>IF(COUNTIF(Roster!$D157:$M157,N$1)&gt;0,$B157,0)</f>
        <v>0</v>
      </c>
      <c r="O157" s="2">
        <f>IF(COUNTIF(Roster!$D157:$M157,O$1)&gt;0,$B157,0)</f>
        <v>0</v>
      </c>
      <c r="P157" s="2">
        <f>IF(COUNTIF(Roster!$D157:$M157,P$1)&gt;0,$B157,0)</f>
        <v>0</v>
      </c>
      <c r="Q157" s="2">
        <f>IF(COUNTIF(Roster!$D157:$M157,Q$1)&gt;0,$B157,0)</f>
        <v>0</v>
      </c>
      <c r="R157" s="2">
        <f>IF(COUNTIF(Roster!$D157:$M157,R$1)&gt;0,$B157,0)</f>
        <v>0</v>
      </c>
      <c r="S157" s="2">
        <f>IF(COUNTIF(Roster!$D157:$M157,S$1)&gt;0,$B157,0)</f>
        <v>0</v>
      </c>
      <c r="T157" s="2">
        <f>IF(COUNTIF(Roster!$D157:$M157,T$1)&gt;0,$B157,0)</f>
        <v>0</v>
      </c>
      <c r="U157" s="2">
        <f>IF(COUNTIF(Roster!$D157:$M157,U$1)&gt;0,$B157,0)</f>
        <v>0</v>
      </c>
      <c r="V157" s="2">
        <f>IF(COUNTIF(Roster!$D157:$M157,V$1)&gt;0,$B157,0)</f>
        <v>0</v>
      </c>
      <c r="W157" s="2">
        <f>IF(COUNTIF(Roster!$D157:$M157,W$1)&gt;0,$B157,0)</f>
        <v>0</v>
      </c>
      <c r="X157" s="2">
        <f t="shared" si="2"/>
        <v>0</v>
      </c>
    </row>
    <row r="158" spans="1:24" ht="15" customHeight="1" x14ac:dyDescent="0.3">
      <c r="A158" s="2">
        <f>Roster!A158</f>
        <v>157</v>
      </c>
      <c r="B158" s="2">
        <f>Roster!C158</f>
        <v>0</v>
      </c>
      <c r="C158" s="2">
        <f>IF(COUNTIF(Roster!$D158:$M158,C$1)&gt;0,$B158,0)</f>
        <v>0</v>
      </c>
      <c r="D158" s="2">
        <f>IF(COUNTIF(Roster!$D158:$M158,D$1)&gt;0,$B158,0)</f>
        <v>0</v>
      </c>
      <c r="E158" s="2">
        <f>IF(COUNTIF(Roster!$D158:$M158,E$1)&gt;0,$B158,0)</f>
        <v>0</v>
      </c>
      <c r="F158" s="2">
        <f>IF(COUNTIF(Roster!$D158:$M158,F$1)&gt;0,$B158,0)</f>
        <v>0</v>
      </c>
      <c r="G158" s="2">
        <f>IF(COUNTIF(Roster!$D158:$M158,G$1)&gt;0,$B158,0)</f>
        <v>0</v>
      </c>
      <c r="H158" s="2">
        <f>IF(COUNTIF(Roster!$D158:$M158,H$1)&gt;0,$B158,0)</f>
        <v>0</v>
      </c>
      <c r="I158" s="2">
        <f>IF(COUNTIF(Roster!$D158:$M158,I$1)&gt;0,$B158,0)</f>
        <v>0</v>
      </c>
      <c r="J158" s="2">
        <f>IF(COUNTIF(Roster!$D158:$M158,J$1)&gt;0,$B158,0)</f>
        <v>0</v>
      </c>
      <c r="K158" s="2">
        <f>IF(COUNTIF(Roster!$D158:$M158,K$1)&gt;0,$B158,0)</f>
        <v>0</v>
      </c>
      <c r="L158" s="2">
        <f>IF(COUNTIF(Roster!$D158:$M158,L$1)&gt;0,$B158,0)</f>
        <v>0</v>
      </c>
      <c r="M158" s="2">
        <f>IF(COUNTIF(Roster!$D158:$M158,M$1)&gt;0,$B158,0)</f>
        <v>0</v>
      </c>
      <c r="N158" s="2">
        <f>IF(COUNTIF(Roster!$D158:$M158,N$1)&gt;0,$B158,0)</f>
        <v>0</v>
      </c>
      <c r="O158" s="2">
        <f>IF(COUNTIF(Roster!$D158:$M158,O$1)&gt;0,$B158,0)</f>
        <v>0</v>
      </c>
      <c r="P158" s="2">
        <f>IF(COUNTIF(Roster!$D158:$M158,P$1)&gt;0,$B158,0)</f>
        <v>0</v>
      </c>
      <c r="Q158" s="2">
        <f>IF(COUNTIF(Roster!$D158:$M158,Q$1)&gt;0,$B158,0)</f>
        <v>0</v>
      </c>
      <c r="R158" s="2">
        <f>IF(COUNTIF(Roster!$D158:$M158,R$1)&gt;0,$B158,0)</f>
        <v>0</v>
      </c>
      <c r="S158" s="2">
        <f>IF(COUNTIF(Roster!$D158:$M158,S$1)&gt;0,$B158,0)</f>
        <v>0</v>
      </c>
      <c r="T158" s="2">
        <f>IF(COUNTIF(Roster!$D158:$M158,T$1)&gt;0,$B158,0)</f>
        <v>0</v>
      </c>
      <c r="U158" s="2">
        <f>IF(COUNTIF(Roster!$D158:$M158,U$1)&gt;0,$B158,0)</f>
        <v>0</v>
      </c>
      <c r="V158" s="2">
        <f>IF(COUNTIF(Roster!$D158:$M158,V$1)&gt;0,$B158,0)</f>
        <v>0</v>
      </c>
      <c r="W158" s="2">
        <f>IF(COUNTIF(Roster!$D158:$M158,W$1)&gt;0,$B158,0)</f>
        <v>0</v>
      </c>
      <c r="X158" s="2">
        <f t="shared" si="2"/>
        <v>0</v>
      </c>
    </row>
    <row r="159" spans="1:24" ht="15" customHeight="1" x14ac:dyDescent="0.3">
      <c r="A159" s="2">
        <f>Roster!A159</f>
        <v>158</v>
      </c>
      <c r="B159" s="2">
        <f>Roster!C159</f>
        <v>0</v>
      </c>
      <c r="C159" s="2">
        <f>IF(COUNTIF(Roster!$D159:$M159,C$1)&gt;0,$B159,0)</f>
        <v>0</v>
      </c>
      <c r="D159" s="2">
        <f>IF(COUNTIF(Roster!$D159:$M159,D$1)&gt;0,$B159,0)</f>
        <v>0</v>
      </c>
      <c r="E159" s="2">
        <f>IF(COUNTIF(Roster!$D159:$M159,E$1)&gt;0,$B159,0)</f>
        <v>0</v>
      </c>
      <c r="F159" s="2">
        <f>IF(COUNTIF(Roster!$D159:$M159,F$1)&gt;0,$B159,0)</f>
        <v>0</v>
      </c>
      <c r="G159" s="2">
        <f>IF(COUNTIF(Roster!$D159:$M159,G$1)&gt;0,$B159,0)</f>
        <v>0</v>
      </c>
      <c r="H159" s="2">
        <f>IF(COUNTIF(Roster!$D159:$M159,H$1)&gt;0,$B159,0)</f>
        <v>0</v>
      </c>
      <c r="I159" s="2">
        <f>IF(COUNTIF(Roster!$D159:$M159,I$1)&gt;0,$B159,0)</f>
        <v>0</v>
      </c>
      <c r="J159" s="2">
        <f>IF(COUNTIF(Roster!$D159:$M159,J$1)&gt;0,$B159,0)</f>
        <v>0</v>
      </c>
      <c r="K159" s="2">
        <f>IF(COUNTIF(Roster!$D159:$M159,K$1)&gt;0,$B159,0)</f>
        <v>0</v>
      </c>
      <c r="L159" s="2">
        <f>IF(COUNTIF(Roster!$D159:$M159,L$1)&gt;0,$B159,0)</f>
        <v>0</v>
      </c>
      <c r="M159" s="2">
        <f>IF(COUNTIF(Roster!$D159:$M159,M$1)&gt;0,$B159,0)</f>
        <v>0</v>
      </c>
      <c r="N159" s="2">
        <f>IF(COUNTIF(Roster!$D159:$M159,N$1)&gt;0,$B159,0)</f>
        <v>0</v>
      </c>
      <c r="O159" s="2">
        <f>IF(COUNTIF(Roster!$D159:$M159,O$1)&gt;0,$B159,0)</f>
        <v>0</v>
      </c>
      <c r="P159" s="2">
        <f>IF(COUNTIF(Roster!$D159:$M159,P$1)&gt;0,$B159,0)</f>
        <v>0</v>
      </c>
      <c r="Q159" s="2">
        <f>IF(COUNTIF(Roster!$D159:$M159,Q$1)&gt;0,$B159,0)</f>
        <v>0</v>
      </c>
      <c r="R159" s="2">
        <f>IF(COUNTIF(Roster!$D159:$M159,R$1)&gt;0,$B159,0)</f>
        <v>0</v>
      </c>
      <c r="S159" s="2">
        <f>IF(COUNTIF(Roster!$D159:$M159,S$1)&gt;0,$B159,0)</f>
        <v>0</v>
      </c>
      <c r="T159" s="2">
        <f>IF(COUNTIF(Roster!$D159:$M159,T$1)&gt;0,$B159,0)</f>
        <v>0</v>
      </c>
      <c r="U159" s="2">
        <f>IF(COUNTIF(Roster!$D159:$M159,U$1)&gt;0,$B159,0)</f>
        <v>0</v>
      </c>
      <c r="V159" s="2">
        <f>IF(COUNTIF(Roster!$D159:$M159,V$1)&gt;0,$B159,0)</f>
        <v>0</v>
      </c>
      <c r="W159" s="2">
        <f>IF(COUNTIF(Roster!$D159:$M159,W$1)&gt;0,$B159,0)</f>
        <v>0</v>
      </c>
      <c r="X159" s="2">
        <f t="shared" si="2"/>
        <v>0</v>
      </c>
    </row>
    <row r="160" spans="1:24" ht="15" customHeight="1" x14ac:dyDescent="0.3">
      <c r="A160" s="2">
        <f>Roster!A160</f>
        <v>159</v>
      </c>
      <c r="B160" s="2">
        <f>Roster!C160</f>
        <v>0</v>
      </c>
      <c r="C160" s="2">
        <f>IF(COUNTIF(Roster!$D160:$M160,C$1)&gt;0,$B160,0)</f>
        <v>0</v>
      </c>
      <c r="D160" s="2">
        <f>IF(COUNTIF(Roster!$D160:$M160,D$1)&gt;0,$B160,0)</f>
        <v>0</v>
      </c>
      <c r="E160" s="2">
        <f>IF(COUNTIF(Roster!$D160:$M160,E$1)&gt;0,$B160,0)</f>
        <v>0</v>
      </c>
      <c r="F160" s="2">
        <f>IF(COUNTIF(Roster!$D160:$M160,F$1)&gt;0,$B160,0)</f>
        <v>0</v>
      </c>
      <c r="G160" s="2">
        <f>IF(COUNTIF(Roster!$D160:$M160,G$1)&gt;0,$B160,0)</f>
        <v>0</v>
      </c>
      <c r="H160" s="2">
        <f>IF(COUNTIF(Roster!$D160:$M160,H$1)&gt;0,$B160,0)</f>
        <v>0</v>
      </c>
      <c r="I160" s="2">
        <f>IF(COUNTIF(Roster!$D160:$M160,I$1)&gt;0,$B160,0)</f>
        <v>0</v>
      </c>
      <c r="J160" s="2">
        <f>IF(COUNTIF(Roster!$D160:$M160,J$1)&gt;0,$B160,0)</f>
        <v>0</v>
      </c>
      <c r="K160" s="2">
        <f>IF(COUNTIF(Roster!$D160:$M160,K$1)&gt;0,$B160,0)</f>
        <v>0</v>
      </c>
      <c r="L160" s="2">
        <f>IF(COUNTIF(Roster!$D160:$M160,L$1)&gt;0,$B160,0)</f>
        <v>0</v>
      </c>
      <c r="M160" s="2">
        <f>IF(COUNTIF(Roster!$D160:$M160,M$1)&gt;0,$B160,0)</f>
        <v>0</v>
      </c>
      <c r="N160" s="2">
        <f>IF(COUNTIF(Roster!$D160:$M160,N$1)&gt;0,$B160,0)</f>
        <v>0</v>
      </c>
      <c r="O160" s="2">
        <f>IF(COUNTIF(Roster!$D160:$M160,O$1)&gt;0,$B160,0)</f>
        <v>0</v>
      </c>
      <c r="P160" s="2">
        <f>IF(COUNTIF(Roster!$D160:$M160,P$1)&gt;0,$B160,0)</f>
        <v>0</v>
      </c>
      <c r="Q160" s="2">
        <f>IF(COUNTIF(Roster!$D160:$M160,Q$1)&gt;0,$B160,0)</f>
        <v>0</v>
      </c>
      <c r="R160" s="2">
        <f>IF(COUNTIF(Roster!$D160:$M160,R$1)&gt;0,$B160,0)</f>
        <v>0</v>
      </c>
      <c r="S160" s="2">
        <f>IF(COUNTIF(Roster!$D160:$M160,S$1)&gt;0,$B160,0)</f>
        <v>0</v>
      </c>
      <c r="T160" s="2">
        <f>IF(COUNTIF(Roster!$D160:$M160,T$1)&gt;0,$B160,0)</f>
        <v>0</v>
      </c>
      <c r="U160" s="2">
        <f>IF(COUNTIF(Roster!$D160:$M160,U$1)&gt;0,$B160,0)</f>
        <v>0</v>
      </c>
      <c r="V160" s="2">
        <f>IF(COUNTIF(Roster!$D160:$M160,V$1)&gt;0,$B160,0)</f>
        <v>0</v>
      </c>
      <c r="W160" s="2">
        <f>IF(COUNTIF(Roster!$D160:$M160,W$1)&gt;0,$B160,0)</f>
        <v>0</v>
      </c>
      <c r="X160" s="2">
        <f t="shared" si="2"/>
        <v>0</v>
      </c>
    </row>
    <row r="161" spans="1:24" ht="15" customHeight="1" x14ac:dyDescent="0.3">
      <c r="A161" s="2">
        <f>Roster!A161</f>
        <v>160</v>
      </c>
      <c r="B161" s="2">
        <f>Roster!C161</f>
        <v>0</v>
      </c>
      <c r="C161" s="2">
        <f>IF(COUNTIF(Roster!$D161:$M161,C$1)&gt;0,$B161,0)</f>
        <v>0</v>
      </c>
      <c r="D161" s="2">
        <f>IF(COUNTIF(Roster!$D161:$M161,D$1)&gt;0,$B161,0)</f>
        <v>0</v>
      </c>
      <c r="E161" s="2">
        <f>IF(COUNTIF(Roster!$D161:$M161,E$1)&gt;0,$B161,0)</f>
        <v>0</v>
      </c>
      <c r="F161" s="2">
        <f>IF(COUNTIF(Roster!$D161:$M161,F$1)&gt;0,$B161,0)</f>
        <v>0</v>
      </c>
      <c r="G161" s="2">
        <f>IF(COUNTIF(Roster!$D161:$M161,G$1)&gt;0,$B161,0)</f>
        <v>0</v>
      </c>
      <c r="H161" s="2">
        <f>IF(COUNTIF(Roster!$D161:$M161,H$1)&gt;0,$B161,0)</f>
        <v>0</v>
      </c>
      <c r="I161" s="2">
        <f>IF(COUNTIF(Roster!$D161:$M161,I$1)&gt;0,$B161,0)</f>
        <v>0</v>
      </c>
      <c r="J161" s="2">
        <f>IF(COUNTIF(Roster!$D161:$M161,J$1)&gt;0,$B161,0)</f>
        <v>0</v>
      </c>
      <c r="K161" s="2">
        <f>IF(COUNTIF(Roster!$D161:$M161,K$1)&gt;0,$B161,0)</f>
        <v>0</v>
      </c>
      <c r="L161" s="2">
        <f>IF(COUNTIF(Roster!$D161:$M161,L$1)&gt;0,$B161,0)</f>
        <v>0</v>
      </c>
      <c r="M161" s="2">
        <f>IF(COUNTIF(Roster!$D161:$M161,M$1)&gt;0,$B161,0)</f>
        <v>0</v>
      </c>
      <c r="N161" s="2">
        <f>IF(COUNTIF(Roster!$D161:$M161,N$1)&gt;0,$B161,0)</f>
        <v>0</v>
      </c>
      <c r="O161" s="2">
        <f>IF(COUNTIF(Roster!$D161:$M161,O$1)&gt;0,$B161,0)</f>
        <v>0</v>
      </c>
      <c r="P161" s="2">
        <f>IF(COUNTIF(Roster!$D161:$M161,P$1)&gt;0,$B161,0)</f>
        <v>0</v>
      </c>
      <c r="Q161" s="2">
        <f>IF(COUNTIF(Roster!$D161:$M161,Q$1)&gt;0,$B161,0)</f>
        <v>0</v>
      </c>
      <c r="R161" s="2">
        <f>IF(COUNTIF(Roster!$D161:$M161,R$1)&gt;0,$B161,0)</f>
        <v>0</v>
      </c>
      <c r="S161" s="2">
        <f>IF(COUNTIF(Roster!$D161:$M161,S$1)&gt;0,$B161,0)</f>
        <v>0</v>
      </c>
      <c r="T161" s="2">
        <f>IF(COUNTIF(Roster!$D161:$M161,T$1)&gt;0,$B161,0)</f>
        <v>0</v>
      </c>
      <c r="U161" s="2">
        <f>IF(COUNTIF(Roster!$D161:$M161,U$1)&gt;0,$B161,0)</f>
        <v>0</v>
      </c>
      <c r="V161" s="2">
        <f>IF(COUNTIF(Roster!$D161:$M161,V$1)&gt;0,$B161,0)</f>
        <v>0</v>
      </c>
      <c r="W161" s="2">
        <f>IF(COUNTIF(Roster!$D161:$M161,W$1)&gt;0,$B161,0)</f>
        <v>0</v>
      </c>
      <c r="X161" s="2">
        <f t="shared" si="2"/>
        <v>0</v>
      </c>
    </row>
    <row r="162" spans="1:24" ht="15" customHeight="1" x14ac:dyDescent="0.3">
      <c r="A162" s="2">
        <f>Roster!A162</f>
        <v>161</v>
      </c>
      <c r="B162" s="2">
        <f>Roster!C162</f>
        <v>0</v>
      </c>
      <c r="C162" s="2">
        <f>IF(COUNTIF(Roster!$D162:$M162,C$1)&gt;0,$B162,0)</f>
        <v>0</v>
      </c>
      <c r="D162" s="2">
        <f>IF(COUNTIF(Roster!$D162:$M162,D$1)&gt;0,$B162,0)</f>
        <v>0</v>
      </c>
      <c r="E162" s="2">
        <f>IF(COUNTIF(Roster!$D162:$M162,E$1)&gt;0,$B162,0)</f>
        <v>0</v>
      </c>
      <c r="F162" s="2">
        <f>IF(COUNTIF(Roster!$D162:$M162,F$1)&gt;0,$B162,0)</f>
        <v>0</v>
      </c>
      <c r="G162" s="2">
        <f>IF(COUNTIF(Roster!$D162:$M162,G$1)&gt;0,$B162,0)</f>
        <v>0</v>
      </c>
      <c r="H162" s="2">
        <f>IF(COUNTIF(Roster!$D162:$M162,H$1)&gt;0,$B162,0)</f>
        <v>0</v>
      </c>
      <c r="I162" s="2">
        <f>IF(COUNTIF(Roster!$D162:$M162,I$1)&gt;0,$B162,0)</f>
        <v>0</v>
      </c>
      <c r="J162" s="2">
        <f>IF(COUNTIF(Roster!$D162:$M162,J$1)&gt;0,$B162,0)</f>
        <v>0</v>
      </c>
      <c r="K162" s="2">
        <f>IF(COUNTIF(Roster!$D162:$M162,K$1)&gt;0,$B162,0)</f>
        <v>0</v>
      </c>
      <c r="L162" s="2">
        <f>IF(COUNTIF(Roster!$D162:$M162,L$1)&gt;0,$B162,0)</f>
        <v>0</v>
      </c>
      <c r="M162" s="2">
        <f>IF(COUNTIF(Roster!$D162:$M162,M$1)&gt;0,$B162,0)</f>
        <v>0</v>
      </c>
      <c r="N162" s="2">
        <f>IF(COUNTIF(Roster!$D162:$M162,N$1)&gt;0,$B162,0)</f>
        <v>0</v>
      </c>
      <c r="O162" s="2">
        <f>IF(COUNTIF(Roster!$D162:$M162,O$1)&gt;0,$B162,0)</f>
        <v>0</v>
      </c>
      <c r="P162" s="2">
        <f>IF(COUNTIF(Roster!$D162:$M162,P$1)&gt;0,$B162,0)</f>
        <v>0</v>
      </c>
      <c r="Q162" s="2">
        <f>IF(COUNTIF(Roster!$D162:$M162,Q$1)&gt;0,$B162,0)</f>
        <v>0</v>
      </c>
      <c r="R162" s="2">
        <f>IF(COUNTIF(Roster!$D162:$M162,R$1)&gt;0,$B162,0)</f>
        <v>0</v>
      </c>
      <c r="S162" s="2">
        <f>IF(COUNTIF(Roster!$D162:$M162,S$1)&gt;0,$B162,0)</f>
        <v>0</v>
      </c>
      <c r="T162" s="2">
        <f>IF(COUNTIF(Roster!$D162:$M162,T$1)&gt;0,$B162,0)</f>
        <v>0</v>
      </c>
      <c r="U162" s="2">
        <f>IF(COUNTIF(Roster!$D162:$M162,U$1)&gt;0,$B162,0)</f>
        <v>0</v>
      </c>
      <c r="V162" s="2">
        <f>IF(COUNTIF(Roster!$D162:$M162,V$1)&gt;0,$B162,0)</f>
        <v>0</v>
      </c>
      <c r="W162" s="2">
        <f>IF(COUNTIF(Roster!$D162:$M162,W$1)&gt;0,$B162,0)</f>
        <v>0</v>
      </c>
      <c r="X162" s="2">
        <f t="shared" si="2"/>
        <v>0</v>
      </c>
    </row>
    <row r="163" spans="1:24" ht="15" customHeight="1" x14ac:dyDescent="0.3">
      <c r="A163" s="2">
        <f>Roster!A163</f>
        <v>162</v>
      </c>
      <c r="B163" s="2">
        <f>Roster!C163</f>
        <v>0</v>
      </c>
      <c r="C163" s="2">
        <f>IF(COUNTIF(Roster!$D163:$M163,C$1)&gt;0,$B163,0)</f>
        <v>0</v>
      </c>
      <c r="D163" s="2">
        <f>IF(COUNTIF(Roster!$D163:$M163,D$1)&gt;0,$B163,0)</f>
        <v>0</v>
      </c>
      <c r="E163" s="2">
        <f>IF(COUNTIF(Roster!$D163:$M163,E$1)&gt;0,$B163,0)</f>
        <v>0</v>
      </c>
      <c r="F163" s="2">
        <f>IF(COUNTIF(Roster!$D163:$M163,F$1)&gt;0,$B163,0)</f>
        <v>0</v>
      </c>
      <c r="G163" s="2">
        <f>IF(COUNTIF(Roster!$D163:$M163,G$1)&gt;0,$B163,0)</f>
        <v>0</v>
      </c>
      <c r="H163" s="2">
        <f>IF(COUNTIF(Roster!$D163:$M163,H$1)&gt;0,$B163,0)</f>
        <v>0</v>
      </c>
      <c r="I163" s="2">
        <f>IF(COUNTIF(Roster!$D163:$M163,I$1)&gt;0,$B163,0)</f>
        <v>0</v>
      </c>
      <c r="J163" s="2">
        <f>IF(COUNTIF(Roster!$D163:$M163,J$1)&gt;0,$B163,0)</f>
        <v>0</v>
      </c>
      <c r="K163" s="2">
        <f>IF(COUNTIF(Roster!$D163:$M163,K$1)&gt;0,$B163,0)</f>
        <v>0</v>
      </c>
      <c r="L163" s="2">
        <f>IF(COUNTIF(Roster!$D163:$M163,L$1)&gt;0,$B163,0)</f>
        <v>0</v>
      </c>
      <c r="M163" s="2">
        <f>IF(COUNTIF(Roster!$D163:$M163,M$1)&gt;0,$B163,0)</f>
        <v>0</v>
      </c>
      <c r="N163" s="2">
        <f>IF(COUNTIF(Roster!$D163:$M163,N$1)&gt;0,$B163,0)</f>
        <v>0</v>
      </c>
      <c r="O163" s="2">
        <f>IF(COUNTIF(Roster!$D163:$M163,O$1)&gt;0,$B163,0)</f>
        <v>0</v>
      </c>
      <c r="P163" s="2">
        <f>IF(COUNTIF(Roster!$D163:$M163,P$1)&gt;0,$B163,0)</f>
        <v>0</v>
      </c>
      <c r="Q163" s="2">
        <f>IF(COUNTIF(Roster!$D163:$M163,Q$1)&gt;0,$B163,0)</f>
        <v>0</v>
      </c>
      <c r="R163" s="2">
        <f>IF(COUNTIF(Roster!$D163:$M163,R$1)&gt;0,$B163,0)</f>
        <v>0</v>
      </c>
      <c r="S163" s="2">
        <f>IF(COUNTIF(Roster!$D163:$M163,S$1)&gt;0,$B163,0)</f>
        <v>0</v>
      </c>
      <c r="T163" s="2">
        <f>IF(COUNTIF(Roster!$D163:$M163,T$1)&gt;0,$B163,0)</f>
        <v>0</v>
      </c>
      <c r="U163" s="2">
        <f>IF(COUNTIF(Roster!$D163:$M163,U$1)&gt;0,$B163,0)</f>
        <v>0</v>
      </c>
      <c r="V163" s="2">
        <f>IF(COUNTIF(Roster!$D163:$M163,V$1)&gt;0,$B163,0)</f>
        <v>0</v>
      </c>
      <c r="W163" s="2">
        <f>IF(COUNTIF(Roster!$D163:$M163,W$1)&gt;0,$B163,0)</f>
        <v>0</v>
      </c>
      <c r="X163" s="2">
        <f t="shared" si="2"/>
        <v>0</v>
      </c>
    </row>
    <row r="164" spans="1:24" ht="15" customHeight="1" x14ac:dyDescent="0.3">
      <c r="A164" s="2">
        <f>Roster!A164</f>
        <v>163</v>
      </c>
      <c r="B164" s="2">
        <f>Roster!C164</f>
        <v>0</v>
      </c>
      <c r="C164" s="2">
        <f>IF(COUNTIF(Roster!$D164:$M164,C$1)&gt;0,$B164,0)</f>
        <v>0</v>
      </c>
      <c r="D164" s="2">
        <f>IF(COUNTIF(Roster!$D164:$M164,D$1)&gt;0,$B164,0)</f>
        <v>0</v>
      </c>
      <c r="E164" s="2">
        <f>IF(COUNTIF(Roster!$D164:$M164,E$1)&gt;0,$B164,0)</f>
        <v>0</v>
      </c>
      <c r="F164" s="2">
        <f>IF(COUNTIF(Roster!$D164:$M164,F$1)&gt;0,$B164,0)</f>
        <v>0</v>
      </c>
      <c r="G164" s="2">
        <f>IF(COUNTIF(Roster!$D164:$M164,G$1)&gt;0,$B164,0)</f>
        <v>0</v>
      </c>
      <c r="H164" s="2">
        <f>IF(COUNTIF(Roster!$D164:$M164,H$1)&gt;0,$B164,0)</f>
        <v>0</v>
      </c>
      <c r="I164" s="2">
        <f>IF(COUNTIF(Roster!$D164:$M164,I$1)&gt;0,$B164,0)</f>
        <v>0</v>
      </c>
      <c r="J164" s="2">
        <f>IF(COUNTIF(Roster!$D164:$M164,J$1)&gt;0,$B164,0)</f>
        <v>0</v>
      </c>
      <c r="K164" s="2">
        <f>IF(COUNTIF(Roster!$D164:$M164,K$1)&gt;0,$B164,0)</f>
        <v>0</v>
      </c>
      <c r="L164" s="2">
        <f>IF(COUNTIF(Roster!$D164:$M164,L$1)&gt;0,$B164,0)</f>
        <v>0</v>
      </c>
      <c r="M164" s="2">
        <f>IF(COUNTIF(Roster!$D164:$M164,M$1)&gt;0,$B164,0)</f>
        <v>0</v>
      </c>
      <c r="N164" s="2">
        <f>IF(COUNTIF(Roster!$D164:$M164,N$1)&gt;0,$B164,0)</f>
        <v>0</v>
      </c>
      <c r="O164" s="2">
        <f>IF(COUNTIF(Roster!$D164:$M164,O$1)&gt;0,$B164,0)</f>
        <v>0</v>
      </c>
      <c r="P164" s="2">
        <f>IF(COUNTIF(Roster!$D164:$M164,P$1)&gt;0,$B164,0)</f>
        <v>0</v>
      </c>
      <c r="Q164" s="2">
        <f>IF(COUNTIF(Roster!$D164:$M164,Q$1)&gt;0,$B164,0)</f>
        <v>0</v>
      </c>
      <c r="R164" s="2">
        <f>IF(COUNTIF(Roster!$D164:$M164,R$1)&gt;0,$B164,0)</f>
        <v>0</v>
      </c>
      <c r="S164" s="2">
        <f>IF(COUNTIF(Roster!$D164:$M164,S$1)&gt;0,$B164,0)</f>
        <v>0</v>
      </c>
      <c r="T164" s="2">
        <f>IF(COUNTIF(Roster!$D164:$M164,T$1)&gt;0,$B164,0)</f>
        <v>0</v>
      </c>
      <c r="U164" s="2">
        <f>IF(COUNTIF(Roster!$D164:$M164,U$1)&gt;0,$B164,0)</f>
        <v>0</v>
      </c>
      <c r="V164" s="2">
        <f>IF(COUNTIF(Roster!$D164:$M164,V$1)&gt;0,$B164,0)</f>
        <v>0</v>
      </c>
      <c r="W164" s="2">
        <f>IF(COUNTIF(Roster!$D164:$M164,W$1)&gt;0,$B164,0)</f>
        <v>0</v>
      </c>
      <c r="X164" s="2">
        <f t="shared" si="2"/>
        <v>0</v>
      </c>
    </row>
    <row r="165" spans="1:24" ht="15" customHeight="1" x14ac:dyDescent="0.3">
      <c r="A165" s="2">
        <f>Roster!A165</f>
        <v>164</v>
      </c>
      <c r="B165" s="2">
        <f>Roster!C165</f>
        <v>0</v>
      </c>
      <c r="C165" s="2">
        <f>IF(COUNTIF(Roster!$D165:$M165,C$1)&gt;0,$B165,0)</f>
        <v>0</v>
      </c>
      <c r="D165" s="2">
        <f>IF(COUNTIF(Roster!$D165:$M165,D$1)&gt;0,$B165,0)</f>
        <v>0</v>
      </c>
      <c r="E165" s="2">
        <f>IF(COUNTIF(Roster!$D165:$M165,E$1)&gt;0,$B165,0)</f>
        <v>0</v>
      </c>
      <c r="F165" s="2">
        <f>IF(COUNTIF(Roster!$D165:$M165,F$1)&gt;0,$B165,0)</f>
        <v>0</v>
      </c>
      <c r="G165" s="2">
        <f>IF(COUNTIF(Roster!$D165:$M165,G$1)&gt;0,$B165,0)</f>
        <v>0</v>
      </c>
      <c r="H165" s="2">
        <f>IF(COUNTIF(Roster!$D165:$M165,H$1)&gt;0,$B165,0)</f>
        <v>0</v>
      </c>
      <c r="I165" s="2">
        <f>IF(COUNTIF(Roster!$D165:$M165,I$1)&gt;0,$B165,0)</f>
        <v>0</v>
      </c>
      <c r="J165" s="2">
        <f>IF(COUNTIF(Roster!$D165:$M165,J$1)&gt;0,$B165,0)</f>
        <v>0</v>
      </c>
      <c r="K165" s="2">
        <f>IF(COUNTIF(Roster!$D165:$M165,K$1)&gt;0,$B165,0)</f>
        <v>0</v>
      </c>
      <c r="L165" s="2">
        <f>IF(COUNTIF(Roster!$D165:$M165,L$1)&gt;0,$B165,0)</f>
        <v>0</v>
      </c>
      <c r="M165" s="2">
        <f>IF(COUNTIF(Roster!$D165:$M165,M$1)&gt;0,$B165,0)</f>
        <v>0</v>
      </c>
      <c r="N165" s="2">
        <f>IF(COUNTIF(Roster!$D165:$M165,N$1)&gt;0,$B165,0)</f>
        <v>0</v>
      </c>
      <c r="O165" s="2">
        <f>IF(COUNTIF(Roster!$D165:$M165,O$1)&gt;0,$B165,0)</f>
        <v>0</v>
      </c>
      <c r="P165" s="2">
        <f>IF(COUNTIF(Roster!$D165:$M165,P$1)&gt;0,$B165,0)</f>
        <v>0</v>
      </c>
      <c r="Q165" s="2">
        <f>IF(COUNTIF(Roster!$D165:$M165,Q$1)&gt;0,$B165,0)</f>
        <v>0</v>
      </c>
      <c r="R165" s="2">
        <f>IF(COUNTIF(Roster!$D165:$M165,R$1)&gt;0,$B165,0)</f>
        <v>0</v>
      </c>
      <c r="S165" s="2">
        <f>IF(COUNTIF(Roster!$D165:$M165,S$1)&gt;0,$B165,0)</f>
        <v>0</v>
      </c>
      <c r="T165" s="2">
        <f>IF(COUNTIF(Roster!$D165:$M165,T$1)&gt;0,$B165,0)</f>
        <v>0</v>
      </c>
      <c r="U165" s="2">
        <f>IF(COUNTIF(Roster!$D165:$M165,U$1)&gt;0,$B165,0)</f>
        <v>0</v>
      </c>
      <c r="V165" s="2">
        <f>IF(COUNTIF(Roster!$D165:$M165,V$1)&gt;0,$B165,0)</f>
        <v>0</v>
      </c>
      <c r="W165" s="2">
        <f>IF(COUNTIF(Roster!$D165:$M165,W$1)&gt;0,$B165,0)</f>
        <v>0</v>
      </c>
      <c r="X165" s="2">
        <f t="shared" si="2"/>
        <v>0</v>
      </c>
    </row>
    <row r="166" spans="1:24" ht="15" customHeight="1" x14ac:dyDescent="0.3">
      <c r="A166" s="2">
        <f>Roster!A166</f>
        <v>165</v>
      </c>
      <c r="B166" s="2">
        <f>Roster!C166</f>
        <v>0</v>
      </c>
      <c r="C166" s="2">
        <f>IF(COUNTIF(Roster!$D166:$M166,C$1)&gt;0,$B166,0)</f>
        <v>0</v>
      </c>
      <c r="D166" s="2">
        <f>IF(COUNTIF(Roster!$D166:$M166,D$1)&gt;0,$B166,0)</f>
        <v>0</v>
      </c>
      <c r="E166" s="2">
        <f>IF(COUNTIF(Roster!$D166:$M166,E$1)&gt;0,$B166,0)</f>
        <v>0</v>
      </c>
      <c r="F166" s="2">
        <f>IF(COUNTIF(Roster!$D166:$M166,F$1)&gt;0,$B166,0)</f>
        <v>0</v>
      </c>
      <c r="G166" s="2">
        <f>IF(COUNTIF(Roster!$D166:$M166,G$1)&gt;0,$B166,0)</f>
        <v>0</v>
      </c>
      <c r="H166" s="2">
        <f>IF(COUNTIF(Roster!$D166:$M166,H$1)&gt;0,$B166,0)</f>
        <v>0</v>
      </c>
      <c r="I166" s="2">
        <f>IF(COUNTIF(Roster!$D166:$M166,I$1)&gt;0,$B166,0)</f>
        <v>0</v>
      </c>
      <c r="J166" s="2">
        <f>IF(COUNTIF(Roster!$D166:$M166,J$1)&gt;0,$B166,0)</f>
        <v>0</v>
      </c>
      <c r="K166" s="2">
        <f>IF(COUNTIF(Roster!$D166:$M166,K$1)&gt;0,$B166,0)</f>
        <v>0</v>
      </c>
      <c r="L166" s="2">
        <f>IF(COUNTIF(Roster!$D166:$M166,L$1)&gt;0,$B166,0)</f>
        <v>0</v>
      </c>
      <c r="M166" s="2">
        <f>IF(COUNTIF(Roster!$D166:$M166,M$1)&gt;0,$B166,0)</f>
        <v>0</v>
      </c>
      <c r="N166" s="2">
        <f>IF(COUNTIF(Roster!$D166:$M166,N$1)&gt;0,$B166,0)</f>
        <v>0</v>
      </c>
      <c r="O166" s="2">
        <f>IF(COUNTIF(Roster!$D166:$M166,O$1)&gt;0,$B166,0)</f>
        <v>0</v>
      </c>
      <c r="P166" s="2">
        <f>IF(COUNTIF(Roster!$D166:$M166,P$1)&gt;0,$B166,0)</f>
        <v>0</v>
      </c>
      <c r="Q166" s="2">
        <f>IF(COUNTIF(Roster!$D166:$M166,Q$1)&gt;0,$B166,0)</f>
        <v>0</v>
      </c>
      <c r="R166" s="2">
        <f>IF(COUNTIF(Roster!$D166:$M166,R$1)&gt;0,$B166,0)</f>
        <v>0</v>
      </c>
      <c r="S166" s="2">
        <f>IF(COUNTIF(Roster!$D166:$M166,S$1)&gt;0,$B166,0)</f>
        <v>0</v>
      </c>
      <c r="T166" s="2">
        <f>IF(COUNTIF(Roster!$D166:$M166,T$1)&gt;0,$B166,0)</f>
        <v>0</v>
      </c>
      <c r="U166" s="2">
        <f>IF(COUNTIF(Roster!$D166:$M166,U$1)&gt;0,$B166,0)</f>
        <v>0</v>
      </c>
      <c r="V166" s="2">
        <f>IF(COUNTIF(Roster!$D166:$M166,V$1)&gt;0,$B166,0)</f>
        <v>0</v>
      </c>
      <c r="W166" s="2">
        <f>IF(COUNTIF(Roster!$D166:$M166,W$1)&gt;0,$B166,0)</f>
        <v>0</v>
      </c>
      <c r="X166" s="2">
        <f t="shared" si="2"/>
        <v>0</v>
      </c>
    </row>
    <row r="167" spans="1:24" ht="15" customHeight="1" x14ac:dyDescent="0.3">
      <c r="A167" s="2">
        <f>Roster!A167</f>
        <v>166</v>
      </c>
      <c r="B167" s="2">
        <f>Roster!C167</f>
        <v>0</v>
      </c>
      <c r="C167" s="2">
        <f>IF(COUNTIF(Roster!$D167:$M167,C$1)&gt;0,$B167,0)</f>
        <v>0</v>
      </c>
      <c r="D167" s="2">
        <f>IF(COUNTIF(Roster!$D167:$M167,D$1)&gt;0,$B167,0)</f>
        <v>0</v>
      </c>
      <c r="E167" s="2">
        <f>IF(COUNTIF(Roster!$D167:$M167,E$1)&gt;0,$B167,0)</f>
        <v>0</v>
      </c>
      <c r="F167" s="2">
        <f>IF(COUNTIF(Roster!$D167:$M167,F$1)&gt;0,$B167,0)</f>
        <v>0</v>
      </c>
      <c r="G167" s="2">
        <f>IF(COUNTIF(Roster!$D167:$M167,G$1)&gt;0,$B167,0)</f>
        <v>0</v>
      </c>
      <c r="H167" s="2">
        <f>IF(COUNTIF(Roster!$D167:$M167,H$1)&gt;0,$B167,0)</f>
        <v>0</v>
      </c>
      <c r="I167" s="2">
        <f>IF(COUNTIF(Roster!$D167:$M167,I$1)&gt;0,$B167,0)</f>
        <v>0</v>
      </c>
      <c r="J167" s="2">
        <f>IF(COUNTIF(Roster!$D167:$M167,J$1)&gt;0,$B167,0)</f>
        <v>0</v>
      </c>
      <c r="K167" s="2">
        <f>IF(COUNTIF(Roster!$D167:$M167,K$1)&gt;0,$B167,0)</f>
        <v>0</v>
      </c>
      <c r="L167" s="2">
        <f>IF(COUNTIF(Roster!$D167:$M167,L$1)&gt;0,$B167,0)</f>
        <v>0</v>
      </c>
      <c r="M167" s="2">
        <f>IF(COUNTIF(Roster!$D167:$M167,M$1)&gt;0,$B167,0)</f>
        <v>0</v>
      </c>
      <c r="N167" s="2">
        <f>IF(COUNTIF(Roster!$D167:$M167,N$1)&gt;0,$B167,0)</f>
        <v>0</v>
      </c>
      <c r="O167" s="2">
        <f>IF(COUNTIF(Roster!$D167:$M167,O$1)&gt;0,$B167,0)</f>
        <v>0</v>
      </c>
      <c r="P167" s="2">
        <f>IF(COUNTIF(Roster!$D167:$M167,P$1)&gt;0,$B167,0)</f>
        <v>0</v>
      </c>
      <c r="Q167" s="2">
        <f>IF(COUNTIF(Roster!$D167:$M167,Q$1)&gt;0,$B167,0)</f>
        <v>0</v>
      </c>
      <c r="R167" s="2">
        <f>IF(COUNTIF(Roster!$D167:$M167,R$1)&gt;0,$B167,0)</f>
        <v>0</v>
      </c>
      <c r="S167" s="2">
        <f>IF(COUNTIF(Roster!$D167:$M167,S$1)&gt;0,$B167,0)</f>
        <v>0</v>
      </c>
      <c r="T167" s="2">
        <f>IF(COUNTIF(Roster!$D167:$M167,T$1)&gt;0,$B167,0)</f>
        <v>0</v>
      </c>
      <c r="U167" s="2">
        <f>IF(COUNTIF(Roster!$D167:$M167,U$1)&gt;0,$B167,0)</f>
        <v>0</v>
      </c>
      <c r="V167" s="2">
        <f>IF(COUNTIF(Roster!$D167:$M167,V$1)&gt;0,$B167,0)</f>
        <v>0</v>
      </c>
      <c r="W167" s="2">
        <f>IF(COUNTIF(Roster!$D167:$M167,W$1)&gt;0,$B167,0)</f>
        <v>0</v>
      </c>
      <c r="X167" s="2">
        <f t="shared" si="2"/>
        <v>0</v>
      </c>
    </row>
    <row r="168" spans="1:24" ht="15" customHeight="1" x14ac:dyDescent="0.3">
      <c r="A168" s="2">
        <f>Roster!A168</f>
        <v>167</v>
      </c>
      <c r="B168" s="2">
        <f>Roster!C168</f>
        <v>0</v>
      </c>
      <c r="C168" s="2">
        <f>IF(COUNTIF(Roster!$D168:$M168,C$1)&gt;0,$B168,0)</f>
        <v>0</v>
      </c>
      <c r="D168" s="2">
        <f>IF(COUNTIF(Roster!$D168:$M168,D$1)&gt;0,$B168,0)</f>
        <v>0</v>
      </c>
      <c r="E168" s="2">
        <f>IF(COUNTIF(Roster!$D168:$M168,E$1)&gt;0,$B168,0)</f>
        <v>0</v>
      </c>
      <c r="F168" s="2">
        <f>IF(COUNTIF(Roster!$D168:$M168,F$1)&gt;0,$B168,0)</f>
        <v>0</v>
      </c>
      <c r="G168" s="2">
        <f>IF(COUNTIF(Roster!$D168:$M168,G$1)&gt;0,$B168,0)</f>
        <v>0</v>
      </c>
      <c r="H168" s="2">
        <f>IF(COUNTIF(Roster!$D168:$M168,H$1)&gt;0,$B168,0)</f>
        <v>0</v>
      </c>
      <c r="I168" s="2">
        <f>IF(COUNTIF(Roster!$D168:$M168,I$1)&gt;0,$B168,0)</f>
        <v>0</v>
      </c>
      <c r="J168" s="2">
        <f>IF(COUNTIF(Roster!$D168:$M168,J$1)&gt;0,$B168,0)</f>
        <v>0</v>
      </c>
      <c r="K168" s="2">
        <f>IF(COUNTIF(Roster!$D168:$M168,K$1)&gt;0,$B168,0)</f>
        <v>0</v>
      </c>
      <c r="L168" s="2">
        <f>IF(COUNTIF(Roster!$D168:$M168,L$1)&gt;0,$B168,0)</f>
        <v>0</v>
      </c>
      <c r="M168" s="2">
        <f>IF(COUNTIF(Roster!$D168:$M168,M$1)&gt;0,$B168,0)</f>
        <v>0</v>
      </c>
      <c r="N168" s="2">
        <f>IF(COUNTIF(Roster!$D168:$M168,N$1)&gt;0,$B168,0)</f>
        <v>0</v>
      </c>
      <c r="O168" s="2">
        <f>IF(COUNTIF(Roster!$D168:$M168,O$1)&gt;0,$B168,0)</f>
        <v>0</v>
      </c>
      <c r="P168" s="2">
        <f>IF(COUNTIF(Roster!$D168:$M168,P$1)&gt;0,$B168,0)</f>
        <v>0</v>
      </c>
      <c r="Q168" s="2">
        <f>IF(COUNTIF(Roster!$D168:$M168,Q$1)&gt;0,$B168,0)</f>
        <v>0</v>
      </c>
      <c r="R168" s="2">
        <f>IF(COUNTIF(Roster!$D168:$M168,R$1)&gt;0,$B168,0)</f>
        <v>0</v>
      </c>
      <c r="S168" s="2">
        <f>IF(COUNTIF(Roster!$D168:$M168,S$1)&gt;0,$B168,0)</f>
        <v>0</v>
      </c>
      <c r="T168" s="2">
        <f>IF(COUNTIF(Roster!$D168:$M168,T$1)&gt;0,$B168,0)</f>
        <v>0</v>
      </c>
      <c r="U168" s="2">
        <f>IF(COUNTIF(Roster!$D168:$M168,U$1)&gt;0,$B168,0)</f>
        <v>0</v>
      </c>
      <c r="V168" s="2">
        <f>IF(COUNTIF(Roster!$D168:$M168,V$1)&gt;0,$B168,0)</f>
        <v>0</v>
      </c>
      <c r="W168" s="2">
        <f>IF(COUNTIF(Roster!$D168:$M168,W$1)&gt;0,$B168,0)</f>
        <v>0</v>
      </c>
      <c r="X168" s="2">
        <f t="shared" si="2"/>
        <v>0</v>
      </c>
    </row>
    <row r="169" spans="1:24" ht="15" customHeight="1" x14ac:dyDescent="0.3">
      <c r="A169" s="2">
        <f>Roster!A169</f>
        <v>168</v>
      </c>
      <c r="B169" s="2">
        <f>Roster!C169</f>
        <v>0</v>
      </c>
      <c r="C169" s="2">
        <f>IF(COUNTIF(Roster!$D169:$M169,C$1)&gt;0,$B169,0)</f>
        <v>0</v>
      </c>
      <c r="D169" s="2">
        <f>IF(COUNTIF(Roster!$D169:$M169,D$1)&gt;0,$B169,0)</f>
        <v>0</v>
      </c>
      <c r="E169" s="2">
        <f>IF(COUNTIF(Roster!$D169:$M169,E$1)&gt;0,$B169,0)</f>
        <v>0</v>
      </c>
      <c r="F169" s="2">
        <f>IF(COUNTIF(Roster!$D169:$M169,F$1)&gt;0,$B169,0)</f>
        <v>0</v>
      </c>
      <c r="G169" s="2">
        <f>IF(COUNTIF(Roster!$D169:$M169,G$1)&gt;0,$B169,0)</f>
        <v>0</v>
      </c>
      <c r="H169" s="2">
        <f>IF(COUNTIF(Roster!$D169:$M169,H$1)&gt;0,$B169,0)</f>
        <v>0</v>
      </c>
      <c r="I169" s="2">
        <f>IF(COUNTIF(Roster!$D169:$M169,I$1)&gt;0,$B169,0)</f>
        <v>0</v>
      </c>
      <c r="J169" s="2">
        <f>IF(COUNTIF(Roster!$D169:$M169,J$1)&gt;0,$B169,0)</f>
        <v>0</v>
      </c>
      <c r="K169" s="2">
        <f>IF(COUNTIF(Roster!$D169:$M169,K$1)&gt;0,$B169,0)</f>
        <v>0</v>
      </c>
      <c r="L169" s="2">
        <f>IF(COUNTIF(Roster!$D169:$M169,L$1)&gt;0,$B169,0)</f>
        <v>0</v>
      </c>
      <c r="M169" s="2">
        <f>IF(COUNTIF(Roster!$D169:$M169,M$1)&gt;0,$B169,0)</f>
        <v>0</v>
      </c>
      <c r="N169" s="2">
        <f>IF(COUNTIF(Roster!$D169:$M169,N$1)&gt;0,$B169,0)</f>
        <v>0</v>
      </c>
      <c r="O169" s="2">
        <f>IF(COUNTIF(Roster!$D169:$M169,O$1)&gt;0,$B169,0)</f>
        <v>0</v>
      </c>
      <c r="P169" s="2">
        <f>IF(COUNTIF(Roster!$D169:$M169,P$1)&gt;0,$B169,0)</f>
        <v>0</v>
      </c>
      <c r="Q169" s="2">
        <f>IF(COUNTIF(Roster!$D169:$M169,Q$1)&gt;0,$B169,0)</f>
        <v>0</v>
      </c>
      <c r="R169" s="2">
        <f>IF(COUNTIF(Roster!$D169:$M169,R$1)&gt;0,$B169,0)</f>
        <v>0</v>
      </c>
      <c r="S169" s="2">
        <f>IF(COUNTIF(Roster!$D169:$M169,S$1)&gt;0,$B169,0)</f>
        <v>0</v>
      </c>
      <c r="T169" s="2">
        <f>IF(COUNTIF(Roster!$D169:$M169,T$1)&gt;0,$B169,0)</f>
        <v>0</v>
      </c>
      <c r="U169" s="2">
        <f>IF(COUNTIF(Roster!$D169:$M169,U$1)&gt;0,$B169,0)</f>
        <v>0</v>
      </c>
      <c r="V169" s="2">
        <f>IF(COUNTIF(Roster!$D169:$M169,V$1)&gt;0,$B169,0)</f>
        <v>0</v>
      </c>
      <c r="W169" s="2">
        <f>IF(COUNTIF(Roster!$D169:$M169,W$1)&gt;0,$B169,0)</f>
        <v>0</v>
      </c>
      <c r="X169" s="2">
        <f t="shared" si="2"/>
        <v>0</v>
      </c>
    </row>
    <row r="170" spans="1:24" ht="15" customHeight="1" x14ac:dyDescent="0.3">
      <c r="A170" s="2">
        <f>Roster!A170</f>
        <v>169</v>
      </c>
      <c r="B170" s="2">
        <f>Roster!C170</f>
        <v>0</v>
      </c>
      <c r="C170" s="2">
        <f>IF(COUNTIF(Roster!$D170:$M170,C$1)&gt;0,$B170,0)</f>
        <v>0</v>
      </c>
      <c r="D170" s="2">
        <f>IF(COUNTIF(Roster!$D170:$M170,D$1)&gt;0,$B170,0)</f>
        <v>0</v>
      </c>
      <c r="E170" s="2">
        <f>IF(COUNTIF(Roster!$D170:$M170,E$1)&gt;0,$B170,0)</f>
        <v>0</v>
      </c>
      <c r="F170" s="2">
        <f>IF(COUNTIF(Roster!$D170:$M170,F$1)&gt;0,$B170,0)</f>
        <v>0</v>
      </c>
      <c r="G170" s="2">
        <f>IF(COUNTIF(Roster!$D170:$M170,G$1)&gt;0,$B170,0)</f>
        <v>0</v>
      </c>
      <c r="H170" s="2">
        <f>IF(COUNTIF(Roster!$D170:$M170,H$1)&gt;0,$B170,0)</f>
        <v>0</v>
      </c>
      <c r="I170" s="2">
        <f>IF(COUNTIF(Roster!$D170:$M170,I$1)&gt;0,$B170,0)</f>
        <v>0</v>
      </c>
      <c r="J170" s="2">
        <f>IF(COUNTIF(Roster!$D170:$M170,J$1)&gt;0,$B170,0)</f>
        <v>0</v>
      </c>
      <c r="K170" s="2">
        <f>IF(COUNTIF(Roster!$D170:$M170,K$1)&gt;0,$B170,0)</f>
        <v>0</v>
      </c>
      <c r="L170" s="2">
        <f>IF(COUNTIF(Roster!$D170:$M170,L$1)&gt;0,$B170,0)</f>
        <v>0</v>
      </c>
      <c r="M170" s="2">
        <f>IF(COUNTIF(Roster!$D170:$M170,M$1)&gt;0,$B170,0)</f>
        <v>0</v>
      </c>
      <c r="N170" s="2">
        <f>IF(COUNTIF(Roster!$D170:$M170,N$1)&gt;0,$B170,0)</f>
        <v>0</v>
      </c>
      <c r="O170" s="2">
        <f>IF(COUNTIF(Roster!$D170:$M170,O$1)&gt;0,$B170,0)</f>
        <v>0</v>
      </c>
      <c r="P170" s="2">
        <f>IF(COUNTIF(Roster!$D170:$M170,P$1)&gt;0,$B170,0)</f>
        <v>0</v>
      </c>
      <c r="Q170" s="2">
        <f>IF(COUNTIF(Roster!$D170:$M170,Q$1)&gt;0,$B170,0)</f>
        <v>0</v>
      </c>
      <c r="R170" s="2">
        <f>IF(COUNTIF(Roster!$D170:$M170,R$1)&gt;0,$B170,0)</f>
        <v>0</v>
      </c>
      <c r="S170" s="2">
        <f>IF(COUNTIF(Roster!$D170:$M170,S$1)&gt;0,$B170,0)</f>
        <v>0</v>
      </c>
      <c r="T170" s="2">
        <f>IF(COUNTIF(Roster!$D170:$M170,T$1)&gt;0,$B170,0)</f>
        <v>0</v>
      </c>
      <c r="U170" s="2">
        <f>IF(COUNTIF(Roster!$D170:$M170,U$1)&gt;0,$B170,0)</f>
        <v>0</v>
      </c>
      <c r="V170" s="2">
        <f>IF(COUNTIF(Roster!$D170:$M170,V$1)&gt;0,$B170,0)</f>
        <v>0</v>
      </c>
      <c r="W170" s="2">
        <f>IF(COUNTIF(Roster!$D170:$M170,W$1)&gt;0,$B170,0)</f>
        <v>0</v>
      </c>
      <c r="X170" s="2">
        <f t="shared" si="2"/>
        <v>0</v>
      </c>
    </row>
    <row r="171" spans="1:24" ht="15" customHeight="1" x14ac:dyDescent="0.3">
      <c r="A171" s="2">
        <f>Roster!A171</f>
        <v>170</v>
      </c>
      <c r="B171" s="2">
        <f>Roster!C171</f>
        <v>0</v>
      </c>
      <c r="C171" s="2">
        <f>IF(COUNTIF(Roster!$D171:$M171,C$1)&gt;0,$B171,0)</f>
        <v>0</v>
      </c>
      <c r="D171" s="2">
        <f>IF(COUNTIF(Roster!$D171:$M171,D$1)&gt;0,$B171,0)</f>
        <v>0</v>
      </c>
      <c r="E171" s="2">
        <f>IF(COUNTIF(Roster!$D171:$M171,E$1)&gt;0,$B171,0)</f>
        <v>0</v>
      </c>
      <c r="F171" s="2">
        <f>IF(COUNTIF(Roster!$D171:$M171,F$1)&gt;0,$B171,0)</f>
        <v>0</v>
      </c>
      <c r="G171" s="2">
        <f>IF(COUNTIF(Roster!$D171:$M171,G$1)&gt;0,$B171,0)</f>
        <v>0</v>
      </c>
      <c r="H171" s="2">
        <f>IF(COUNTIF(Roster!$D171:$M171,H$1)&gt;0,$B171,0)</f>
        <v>0</v>
      </c>
      <c r="I171" s="2">
        <f>IF(COUNTIF(Roster!$D171:$M171,I$1)&gt;0,$B171,0)</f>
        <v>0</v>
      </c>
      <c r="J171" s="2">
        <f>IF(COUNTIF(Roster!$D171:$M171,J$1)&gt;0,$B171,0)</f>
        <v>0</v>
      </c>
      <c r="K171" s="2">
        <f>IF(COUNTIF(Roster!$D171:$M171,K$1)&gt;0,$B171,0)</f>
        <v>0</v>
      </c>
      <c r="L171" s="2">
        <f>IF(COUNTIF(Roster!$D171:$M171,L$1)&gt;0,$B171,0)</f>
        <v>0</v>
      </c>
      <c r="M171" s="2">
        <f>IF(COUNTIF(Roster!$D171:$M171,M$1)&gt;0,$B171,0)</f>
        <v>0</v>
      </c>
      <c r="N171" s="2">
        <f>IF(COUNTIF(Roster!$D171:$M171,N$1)&gt;0,$B171,0)</f>
        <v>0</v>
      </c>
      <c r="O171" s="2">
        <f>IF(COUNTIF(Roster!$D171:$M171,O$1)&gt;0,$B171,0)</f>
        <v>0</v>
      </c>
      <c r="P171" s="2">
        <f>IF(COUNTIF(Roster!$D171:$M171,P$1)&gt;0,$B171,0)</f>
        <v>0</v>
      </c>
      <c r="Q171" s="2">
        <f>IF(COUNTIF(Roster!$D171:$M171,Q$1)&gt;0,$B171,0)</f>
        <v>0</v>
      </c>
      <c r="R171" s="2">
        <f>IF(COUNTIF(Roster!$D171:$M171,R$1)&gt;0,$B171,0)</f>
        <v>0</v>
      </c>
      <c r="S171" s="2">
        <f>IF(COUNTIF(Roster!$D171:$M171,S$1)&gt;0,$B171,0)</f>
        <v>0</v>
      </c>
      <c r="T171" s="2">
        <f>IF(COUNTIF(Roster!$D171:$M171,T$1)&gt;0,$B171,0)</f>
        <v>0</v>
      </c>
      <c r="U171" s="2">
        <f>IF(COUNTIF(Roster!$D171:$M171,U$1)&gt;0,$B171,0)</f>
        <v>0</v>
      </c>
      <c r="V171" s="2">
        <f>IF(COUNTIF(Roster!$D171:$M171,V$1)&gt;0,$B171,0)</f>
        <v>0</v>
      </c>
      <c r="W171" s="2">
        <f>IF(COUNTIF(Roster!$D171:$M171,W$1)&gt;0,$B171,0)</f>
        <v>0</v>
      </c>
      <c r="X171" s="2">
        <f t="shared" si="2"/>
        <v>0</v>
      </c>
    </row>
    <row r="172" spans="1:24" ht="15" customHeight="1" x14ac:dyDescent="0.3">
      <c r="A172" s="2">
        <f>Roster!A172</f>
        <v>171</v>
      </c>
      <c r="B172" s="2">
        <f>Roster!C172</f>
        <v>0</v>
      </c>
      <c r="C172" s="2">
        <f>IF(COUNTIF(Roster!$D172:$M172,C$1)&gt;0,$B172,0)</f>
        <v>0</v>
      </c>
      <c r="D172" s="2">
        <f>IF(COUNTIF(Roster!$D172:$M172,D$1)&gt;0,$B172,0)</f>
        <v>0</v>
      </c>
      <c r="E172" s="2">
        <f>IF(COUNTIF(Roster!$D172:$M172,E$1)&gt;0,$B172,0)</f>
        <v>0</v>
      </c>
      <c r="F172" s="2">
        <f>IF(COUNTIF(Roster!$D172:$M172,F$1)&gt;0,$B172,0)</f>
        <v>0</v>
      </c>
      <c r="G172" s="2">
        <f>IF(COUNTIF(Roster!$D172:$M172,G$1)&gt;0,$B172,0)</f>
        <v>0</v>
      </c>
      <c r="H172" s="2">
        <f>IF(COUNTIF(Roster!$D172:$M172,H$1)&gt;0,$B172,0)</f>
        <v>0</v>
      </c>
      <c r="I172" s="2">
        <f>IF(COUNTIF(Roster!$D172:$M172,I$1)&gt;0,$B172,0)</f>
        <v>0</v>
      </c>
      <c r="J172" s="2">
        <f>IF(COUNTIF(Roster!$D172:$M172,J$1)&gt;0,$B172,0)</f>
        <v>0</v>
      </c>
      <c r="K172" s="2">
        <f>IF(COUNTIF(Roster!$D172:$M172,K$1)&gt;0,$B172,0)</f>
        <v>0</v>
      </c>
      <c r="L172" s="2">
        <f>IF(COUNTIF(Roster!$D172:$M172,L$1)&gt;0,$B172,0)</f>
        <v>0</v>
      </c>
      <c r="M172" s="2">
        <f>IF(COUNTIF(Roster!$D172:$M172,M$1)&gt;0,$B172,0)</f>
        <v>0</v>
      </c>
      <c r="N172" s="2">
        <f>IF(COUNTIF(Roster!$D172:$M172,N$1)&gt;0,$B172,0)</f>
        <v>0</v>
      </c>
      <c r="O172" s="2">
        <f>IF(COUNTIF(Roster!$D172:$M172,O$1)&gt;0,$B172,0)</f>
        <v>0</v>
      </c>
      <c r="P172" s="2">
        <f>IF(COUNTIF(Roster!$D172:$M172,P$1)&gt;0,$B172,0)</f>
        <v>0</v>
      </c>
      <c r="Q172" s="2">
        <f>IF(COUNTIF(Roster!$D172:$M172,Q$1)&gt;0,$B172,0)</f>
        <v>0</v>
      </c>
      <c r="R172" s="2">
        <f>IF(COUNTIF(Roster!$D172:$M172,R$1)&gt;0,$B172,0)</f>
        <v>0</v>
      </c>
      <c r="S172" s="2">
        <f>IF(COUNTIF(Roster!$D172:$M172,S$1)&gt;0,$B172,0)</f>
        <v>0</v>
      </c>
      <c r="T172" s="2">
        <f>IF(COUNTIF(Roster!$D172:$M172,T$1)&gt;0,$B172,0)</f>
        <v>0</v>
      </c>
      <c r="U172" s="2">
        <f>IF(COUNTIF(Roster!$D172:$M172,U$1)&gt;0,$B172,0)</f>
        <v>0</v>
      </c>
      <c r="V172" s="2">
        <f>IF(COUNTIF(Roster!$D172:$M172,V$1)&gt;0,$B172,0)</f>
        <v>0</v>
      </c>
      <c r="W172" s="2">
        <f>IF(COUNTIF(Roster!$D172:$M172,W$1)&gt;0,$B172,0)</f>
        <v>0</v>
      </c>
      <c r="X172" s="2">
        <f t="shared" si="2"/>
        <v>0</v>
      </c>
    </row>
    <row r="173" spans="1:24" ht="15" customHeight="1" x14ac:dyDescent="0.3">
      <c r="A173" s="2">
        <f>Roster!A173</f>
        <v>172</v>
      </c>
      <c r="B173" s="2">
        <f>Roster!C173</f>
        <v>0</v>
      </c>
      <c r="C173" s="2">
        <f>IF(COUNTIF(Roster!$D173:$M173,C$1)&gt;0,$B173,0)</f>
        <v>0</v>
      </c>
      <c r="D173" s="2">
        <f>IF(COUNTIF(Roster!$D173:$M173,D$1)&gt;0,$B173,0)</f>
        <v>0</v>
      </c>
      <c r="E173" s="2">
        <f>IF(COUNTIF(Roster!$D173:$M173,E$1)&gt;0,$B173,0)</f>
        <v>0</v>
      </c>
      <c r="F173" s="2">
        <f>IF(COUNTIF(Roster!$D173:$M173,F$1)&gt;0,$B173,0)</f>
        <v>0</v>
      </c>
      <c r="G173" s="2">
        <f>IF(COUNTIF(Roster!$D173:$M173,G$1)&gt;0,$B173,0)</f>
        <v>0</v>
      </c>
      <c r="H173" s="2">
        <f>IF(COUNTIF(Roster!$D173:$M173,H$1)&gt;0,$B173,0)</f>
        <v>0</v>
      </c>
      <c r="I173" s="2">
        <f>IF(COUNTIF(Roster!$D173:$M173,I$1)&gt;0,$B173,0)</f>
        <v>0</v>
      </c>
      <c r="J173" s="2">
        <f>IF(COUNTIF(Roster!$D173:$M173,J$1)&gt;0,$B173,0)</f>
        <v>0</v>
      </c>
      <c r="K173" s="2">
        <f>IF(COUNTIF(Roster!$D173:$M173,K$1)&gt;0,$B173,0)</f>
        <v>0</v>
      </c>
      <c r="L173" s="2">
        <f>IF(COUNTIF(Roster!$D173:$M173,L$1)&gt;0,$B173,0)</f>
        <v>0</v>
      </c>
      <c r="M173" s="2">
        <f>IF(COUNTIF(Roster!$D173:$M173,M$1)&gt;0,$B173,0)</f>
        <v>0</v>
      </c>
      <c r="N173" s="2">
        <f>IF(COUNTIF(Roster!$D173:$M173,N$1)&gt;0,$B173,0)</f>
        <v>0</v>
      </c>
      <c r="O173" s="2">
        <f>IF(COUNTIF(Roster!$D173:$M173,O$1)&gt;0,$B173,0)</f>
        <v>0</v>
      </c>
      <c r="P173" s="2">
        <f>IF(COUNTIF(Roster!$D173:$M173,P$1)&gt;0,$B173,0)</f>
        <v>0</v>
      </c>
      <c r="Q173" s="2">
        <f>IF(COUNTIF(Roster!$D173:$M173,Q$1)&gt;0,$B173,0)</f>
        <v>0</v>
      </c>
      <c r="R173" s="2">
        <f>IF(COUNTIF(Roster!$D173:$M173,R$1)&gt;0,$B173,0)</f>
        <v>0</v>
      </c>
      <c r="S173" s="2">
        <f>IF(COUNTIF(Roster!$D173:$M173,S$1)&gt;0,$B173,0)</f>
        <v>0</v>
      </c>
      <c r="T173" s="2">
        <f>IF(COUNTIF(Roster!$D173:$M173,T$1)&gt;0,$B173,0)</f>
        <v>0</v>
      </c>
      <c r="U173" s="2">
        <f>IF(COUNTIF(Roster!$D173:$M173,U$1)&gt;0,$B173,0)</f>
        <v>0</v>
      </c>
      <c r="V173" s="2">
        <f>IF(COUNTIF(Roster!$D173:$M173,V$1)&gt;0,$B173,0)</f>
        <v>0</v>
      </c>
      <c r="W173" s="2">
        <f>IF(COUNTIF(Roster!$D173:$M173,W$1)&gt;0,$B173,0)</f>
        <v>0</v>
      </c>
      <c r="X173" s="2">
        <f t="shared" si="2"/>
        <v>0</v>
      </c>
    </row>
    <row r="174" spans="1:24" ht="15" customHeight="1" x14ac:dyDescent="0.3">
      <c r="A174" s="2">
        <f>Roster!A174</f>
        <v>173</v>
      </c>
      <c r="B174" s="2">
        <f>Roster!C174</f>
        <v>0</v>
      </c>
      <c r="C174" s="2">
        <f>IF(COUNTIF(Roster!$D174:$M174,C$1)&gt;0,$B174,0)</f>
        <v>0</v>
      </c>
      <c r="D174" s="2">
        <f>IF(COUNTIF(Roster!$D174:$M174,D$1)&gt;0,$B174,0)</f>
        <v>0</v>
      </c>
      <c r="E174" s="2">
        <f>IF(COUNTIF(Roster!$D174:$M174,E$1)&gt;0,$B174,0)</f>
        <v>0</v>
      </c>
      <c r="F174" s="2">
        <f>IF(COUNTIF(Roster!$D174:$M174,F$1)&gt;0,$B174,0)</f>
        <v>0</v>
      </c>
      <c r="G174" s="2">
        <f>IF(COUNTIF(Roster!$D174:$M174,G$1)&gt;0,$B174,0)</f>
        <v>0</v>
      </c>
      <c r="H174" s="2">
        <f>IF(COUNTIF(Roster!$D174:$M174,H$1)&gt;0,$B174,0)</f>
        <v>0</v>
      </c>
      <c r="I174" s="2">
        <f>IF(COUNTIF(Roster!$D174:$M174,I$1)&gt;0,$B174,0)</f>
        <v>0</v>
      </c>
      <c r="J174" s="2">
        <f>IF(COUNTIF(Roster!$D174:$M174,J$1)&gt;0,$B174,0)</f>
        <v>0</v>
      </c>
      <c r="K174" s="2">
        <f>IF(COUNTIF(Roster!$D174:$M174,K$1)&gt;0,$B174,0)</f>
        <v>0</v>
      </c>
      <c r="L174" s="2">
        <f>IF(COUNTIF(Roster!$D174:$M174,L$1)&gt;0,$B174,0)</f>
        <v>0</v>
      </c>
      <c r="M174" s="2">
        <f>IF(COUNTIF(Roster!$D174:$M174,M$1)&gt;0,$B174,0)</f>
        <v>0</v>
      </c>
      <c r="N174" s="2">
        <f>IF(COUNTIF(Roster!$D174:$M174,N$1)&gt;0,$B174,0)</f>
        <v>0</v>
      </c>
      <c r="O174" s="2">
        <f>IF(COUNTIF(Roster!$D174:$M174,O$1)&gt;0,$B174,0)</f>
        <v>0</v>
      </c>
      <c r="P174" s="2">
        <f>IF(COUNTIF(Roster!$D174:$M174,P$1)&gt;0,$B174,0)</f>
        <v>0</v>
      </c>
      <c r="Q174" s="2">
        <f>IF(COUNTIF(Roster!$D174:$M174,Q$1)&gt;0,$B174,0)</f>
        <v>0</v>
      </c>
      <c r="R174" s="2">
        <f>IF(COUNTIF(Roster!$D174:$M174,R$1)&gt;0,$B174,0)</f>
        <v>0</v>
      </c>
      <c r="S174" s="2">
        <f>IF(COUNTIF(Roster!$D174:$M174,S$1)&gt;0,$B174,0)</f>
        <v>0</v>
      </c>
      <c r="T174" s="2">
        <f>IF(COUNTIF(Roster!$D174:$M174,T$1)&gt;0,$B174,0)</f>
        <v>0</v>
      </c>
      <c r="U174" s="2">
        <f>IF(COUNTIF(Roster!$D174:$M174,U$1)&gt;0,$B174,0)</f>
        <v>0</v>
      </c>
      <c r="V174" s="2">
        <f>IF(COUNTIF(Roster!$D174:$M174,V$1)&gt;0,$B174,0)</f>
        <v>0</v>
      </c>
      <c r="W174" s="2">
        <f>IF(COUNTIF(Roster!$D174:$M174,W$1)&gt;0,$B174,0)</f>
        <v>0</v>
      </c>
      <c r="X174" s="2">
        <f t="shared" si="2"/>
        <v>0</v>
      </c>
    </row>
    <row r="175" spans="1:24" ht="15" customHeight="1" x14ac:dyDescent="0.3">
      <c r="A175" s="2">
        <f>Roster!A175</f>
        <v>174</v>
      </c>
      <c r="B175" s="2">
        <f>Roster!C175</f>
        <v>0</v>
      </c>
      <c r="C175" s="2">
        <f>IF(COUNTIF(Roster!$D175:$M175,C$1)&gt;0,$B175,0)</f>
        <v>0</v>
      </c>
      <c r="D175" s="2">
        <f>IF(COUNTIF(Roster!$D175:$M175,D$1)&gt;0,$B175,0)</f>
        <v>0</v>
      </c>
      <c r="E175" s="2">
        <f>IF(COUNTIF(Roster!$D175:$M175,E$1)&gt;0,$B175,0)</f>
        <v>0</v>
      </c>
      <c r="F175" s="2">
        <f>IF(COUNTIF(Roster!$D175:$M175,F$1)&gt;0,$B175,0)</f>
        <v>0</v>
      </c>
      <c r="G175" s="2">
        <f>IF(COUNTIF(Roster!$D175:$M175,G$1)&gt;0,$B175,0)</f>
        <v>0</v>
      </c>
      <c r="H175" s="2">
        <f>IF(COUNTIF(Roster!$D175:$M175,H$1)&gt;0,$B175,0)</f>
        <v>0</v>
      </c>
      <c r="I175" s="2">
        <f>IF(COUNTIF(Roster!$D175:$M175,I$1)&gt;0,$B175,0)</f>
        <v>0</v>
      </c>
      <c r="J175" s="2">
        <f>IF(COUNTIF(Roster!$D175:$M175,J$1)&gt;0,$B175,0)</f>
        <v>0</v>
      </c>
      <c r="K175" s="2">
        <f>IF(COUNTIF(Roster!$D175:$M175,K$1)&gt;0,$B175,0)</f>
        <v>0</v>
      </c>
      <c r="L175" s="2">
        <f>IF(COUNTIF(Roster!$D175:$M175,L$1)&gt;0,$B175,0)</f>
        <v>0</v>
      </c>
      <c r="M175" s="2">
        <f>IF(COUNTIF(Roster!$D175:$M175,M$1)&gt;0,$B175,0)</f>
        <v>0</v>
      </c>
      <c r="N175" s="2">
        <f>IF(COUNTIF(Roster!$D175:$M175,N$1)&gt;0,$B175,0)</f>
        <v>0</v>
      </c>
      <c r="O175" s="2">
        <f>IF(COUNTIF(Roster!$D175:$M175,O$1)&gt;0,$B175,0)</f>
        <v>0</v>
      </c>
      <c r="P175" s="2">
        <f>IF(COUNTIF(Roster!$D175:$M175,P$1)&gt;0,$B175,0)</f>
        <v>0</v>
      </c>
      <c r="Q175" s="2">
        <f>IF(COUNTIF(Roster!$D175:$M175,Q$1)&gt;0,$B175,0)</f>
        <v>0</v>
      </c>
      <c r="R175" s="2">
        <f>IF(COUNTIF(Roster!$D175:$M175,R$1)&gt;0,$B175,0)</f>
        <v>0</v>
      </c>
      <c r="S175" s="2">
        <f>IF(COUNTIF(Roster!$D175:$M175,S$1)&gt;0,$B175,0)</f>
        <v>0</v>
      </c>
      <c r="T175" s="2">
        <f>IF(COUNTIF(Roster!$D175:$M175,T$1)&gt;0,$B175,0)</f>
        <v>0</v>
      </c>
      <c r="U175" s="2">
        <f>IF(COUNTIF(Roster!$D175:$M175,U$1)&gt;0,$B175,0)</f>
        <v>0</v>
      </c>
      <c r="V175" s="2">
        <f>IF(COUNTIF(Roster!$D175:$M175,V$1)&gt;0,$B175,0)</f>
        <v>0</v>
      </c>
      <c r="W175" s="2">
        <f>IF(COUNTIF(Roster!$D175:$M175,W$1)&gt;0,$B175,0)</f>
        <v>0</v>
      </c>
      <c r="X175" s="2">
        <f t="shared" si="2"/>
        <v>0</v>
      </c>
    </row>
    <row r="176" spans="1:24" ht="15" customHeight="1" x14ac:dyDescent="0.3">
      <c r="A176" s="2">
        <f>Roster!A176</f>
        <v>175</v>
      </c>
      <c r="B176" s="2">
        <f>Roster!C176</f>
        <v>0</v>
      </c>
      <c r="C176" s="2">
        <f>IF(COUNTIF(Roster!$D176:$M176,C$1)&gt;0,$B176,0)</f>
        <v>0</v>
      </c>
      <c r="D176" s="2">
        <f>IF(COUNTIF(Roster!$D176:$M176,D$1)&gt;0,$B176,0)</f>
        <v>0</v>
      </c>
      <c r="E176" s="2">
        <f>IF(COUNTIF(Roster!$D176:$M176,E$1)&gt;0,$B176,0)</f>
        <v>0</v>
      </c>
      <c r="F176" s="2">
        <f>IF(COUNTIF(Roster!$D176:$M176,F$1)&gt;0,$B176,0)</f>
        <v>0</v>
      </c>
      <c r="G176" s="2">
        <f>IF(COUNTIF(Roster!$D176:$M176,G$1)&gt;0,$B176,0)</f>
        <v>0</v>
      </c>
      <c r="H176" s="2">
        <f>IF(COUNTIF(Roster!$D176:$M176,H$1)&gt;0,$B176,0)</f>
        <v>0</v>
      </c>
      <c r="I176" s="2">
        <f>IF(COUNTIF(Roster!$D176:$M176,I$1)&gt;0,$B176,0)</f>
        <v>0</v>
      </c>
      <c r="J176" s="2">
        <f>IF(COUNTIF(Roster!$D176:$M176,J$1)&gt;0,$B176,0)</f>
        <v>0</v>
      </c>
      <c r="K176" s="2">
        <f>IF(COUNTIF(Roster!$D176:$M176,K$1)&gt;0,$B176,0)</f>
        <v>0</v>
      </c>
      <c r="L176" s="2">
        <f>IF(COUNTIF(Roster!$D176:$M176,L$1)&gt;0,$B176,0)</f>
        <v>0</v>
      </c>
      <c r="M176" s="2">
        <f>IF(COUNTIF(Roster!$D176:$M176,M$1)&gt;0,$B176,0)</f>
        <v>0</v>
      </c>
      <c r="N176" s="2">
        <f>IF(COUNTIF(Roster!$D176:$M176,N$1)&gt;0,$B176,0)</f>
        <v>0</v>
      </c>
      <c r="O176" s="2">
        <f>IF(COUNTIF(Roster!$D176:$M176,O$1)&gt;0,$B176,0)</f>
        <v>0</v>
      </c>
      <c r="P176" s="2">
        <f>IF(COUNTIF(Roster!$D176:$M176,P$1)&gt;0,$B176,0)</f>
        <v>0</v>
      </c>
      <c r="Q176" s="2">
        <f>IF(COUNTIF(Roster!$D176:$M176,Q$1)&gt;0,$B176,0)</f>
        <v>0</v>
      </c>
      <c r="R176" s="2">
        <f>IF(COUNTIF(Roster!$D176:$M176,R$1)&gt;0,$B176,0)</f>
        <v>0</v>
      </c>
      <c r="S176" s="2">
        <f>IF(COUNTIF(Roster!$D176:$M176,S$1)&gt;0,$B176,0)</f>
        <v>0</v>
      </c>
      <c r="T176" s="2">
        <f>IF(COUNTIF(Roster!$D176:$M176,T$1)&gt;0,$B176,0)</f>
        <v>0</v>
      </c>
      <c r="U176" s="2">
        <f>IF(COUNTIF(Roster!$D176:$M176,U$1)&gt;0,$B176,0)</f>
        <v>0</v>
      </c>
      <c r="V176" s="2">
        <f>IF(COUNTIF(Roster!$D176:$M176,V$1)&gt;0,$B176,0)</f>
        <v>0</v>
      </c>
      <c r="W176" s="2">
        <f>IF(COUNTIF(Roster!$D176:$M176,W$1)&gt;0,$B176,0)</f>
        <v>0</v>
      </c>
      <c r="X176" s="2">
        <f t="shared" si="2"/>
        <v>0</v>
      </c>
    </row>
    <row r="177" spans="1:24" ht="15" customHeight="1" x14ac:dyDescent="0.3">
      <c r="A177" s="2">
        <f>Roster!A177</f>
        <v>176</v>
      </c>
      <c r="B177" s="2">
        <f>Roster!C177</f>
        <v>0</v>
      </c>
      <c r="C177" s="2">
        <f>IF(COUNTIF(Roster!$D177:$M177,C$1)&gt;0,$B177,0)</f>
        <v>0</v>
      </c>
      <c r="D177" s="2">
        <f>IF(COUNTIF(Roster!$D177:$M177,D$1)&gt;0,$B177,0)</f>
        <v>0</v>
      </c>
      <c r="E177" s="2">
        <f>IF(COUNTIF(Roster!$D177:$M177,E$1)&gt;0,$B177,0)</f>
        <v>0</v>
      </c>
      <c r="F177" s="2">
        <f>IF(COUNTIF(Roster!$D177:$M177,F$1)&gt;0,$B177,0)</f>
        <v>0</v>
      </c>
      <c r="G177" s="2">
        <f>IF(COUNTIF(Roster!$D177:$M177,G$1)&gt;0,$B177,0)</f>
        <v>0</v>
      </c>
      <c r="H177" s="2">
        <f>IF(COUNTIF(Roster!$D177:$M177,H$1)&gt;0,$B177,0)</f>
        <v>0</v>
      </c>
      <c r="I177" s="2">
        <f>IF(COUNTIF(Roster!$D177:$M177,I$1)&gt;0,$B177,0)</f>
        <v>0</v>
      </c>
      <c r="J177" s="2">
        <f>IF(COUNTIF(Roster!$D177:$M177,J$1)&gt;0,$B177,0)</f>
        <v>0</v>
      </c>
      <c r="K177" s="2">
        <f>IF(COUNTIF(Roster!$D177:$M177,K$1)&gt;0,$B177,0)</f>
        <v>0</v>
      </c>
      <c r="L177" s="2">
        <f>IF(COUNTIF(Roster!$D177:$M177,L$1)&gt;0,$B177,0)</f>
        <v>0</v>
      </c>
      <c r="M177" s="2">
        <f>IF(COUNTIF(Roster!$D177:$M177,M$1)&gt;0,$B177,0)</f>
        <v>0</v>
      </c>
      <c r="N177" s="2">
        <f>IF(COUNTIF(Roster!$D177:$M177,N$1)&gt;0,$B177,0)</f>
        <v>0</v>
      </c>
      <c r="O177" s="2">
        <f>IF(COUNTIF(Roster!$D177:$M177,O$1)&gt;0,$B177,0)</f>
        <v>0</v>
      </c>
      <c r="P177" s="2">
        <f>IF(COUNTIF(Roster!$D177:$M177,P$1)&gt;0,$B177,0)</f>
        <v>0</v>
      </c>
      <c r="Q177" s="2">
        <f>IF(COUNTIF(Roster!$D177:$M177,Q$1)&gt;0,$B177,0)</f>
        <v>0</v>
      </c>
      <c r="R177" s="2">
        <f>IF(COUNTIF(Roster!$D177:$M177,R$1)&gt;0,$B177,0)</f>
        <v>0</v>
      </c>
      <c r="S177" s="2">
        <f>IF(COUNTIF(Roster!$D177:$M177,S$1)&gt;0,$B177,0)</f>
        <v>0</v>
      </c>
      <c r="T177" s="2">
        <f>IF(COUNTIF(Roster!$D177:$M177,T$1)&gt;0,$B177,0)</f>
        <v>0</v>
      </c>
      <c r="U177" s="2">
        <f>IF(COUNTIF(Roster!$D177:$M177,U$1)&gt;0,$B177,0)</f>
        <v>0</v>
      </c>
      <c r="V177" s="2">
        <f>IF(COUNTIF(Roster!$D177:$M177,V$1)&gt;0,$B177,0)</f>
        <v>0</v>
      </c>
      <c r="W177" s="2">
        <f>IF(COUNTIF(Roster!$D177:$M177,W$1)&gt;0,$B177,0)</f>
        <v>0</v>
      </c>
      <c r="X177" s="2">
        <f t="shared" si="2"/>
        <v>0</v>
      </c>
    </row>
    <row r="178" spans="1:24" ht="15" customHeight="1" x14ac:dyDescent="0.3">
      <c r="A178" s="2">
        <f>Roster!A178</f>
        <v>177</v>
      </c>
      <c r="B178" s="2">
        <f>Roster!C178</f>
        <v>0</v>
      </c>
      <c r="C178" s="2">
        <f>IF(COUNTIF(Roster!$D178:$M178,C$1)&gt;0,$B178,0)</f>
        <v>0</v>
      </c>
      <c r="D178" s="2">
        <f>IF(COUNTIF(Roster!$D178:$M178,D$1)&gt;0,$B178,0)</f>
        <v>0</v>
      </c>
      <c r="E178" s="2">
        <f>IF(COUNTIF(Roster!$D178:$M178,E$1)&gt;0,$B178,0)</f>
        <v>0</v>
      </c>
      <c r="F178" s="2">
        <f>IF(COUNTIF(Roster!$D178:$M178,F$1)&gt;0,$B178,0)</f>
        <v>0</v>
      </c>
      <c r="G178" s="2">
        <f>IF(COUNTIF(Roster!$D178:$M178,G$1)&gt;0,$B178,0)</f>
        <v>0</v>
      </c>
      <c r="H178" s="2">
        <f>IF(COUNTIF(Roster!$D178:$M178,H$1)&gt;0,$B178,0)</f>
        <v>0</v>
      </c>
      <c r="I178" s="2">
        <f>IF(COUNTIF(Roster!$D178:$M178,I$1)&gt;0,$B178,0)</f>
        <v>0</v>
      </c>
      <c r="J178" s="2">
        <f>IF(COUNTIF(Roster!$D178:$M178,J$1)&gt;0,$B178,0)</f>
        <v>0</v>
      </c>
      <c r="K178" s="2">
        <f>IF(COUNTIF(Roster!$D178:$M178,K$1)&gt;0,$B178,0)</f>
        <v>0</v>
      </c>
      <c r="L178" s="2">
        <f>IF(COUNTIF(Roster!$D178:$M178,L$1)&gt;0,$B178,0)</f>
        <v>0</v>
      </c>
      <c r="M178" s="2">
        <f>IF(COUNTIF(Roster!$D178:$M178,M$1)&gt;0,$B178,0)</f>
        <v>0</v>
      </c>
      <c r="N178" s="2">
        <f>IF(COUNTIF(Roster!$D178:$M178,N$1)&gt;0,$B178,0)</f>
        <v>0</v>
      </c>
      <c r="O178" s="2">
        <f>IF(COUNTIF(Roster!$D178:$M178,O$1)&gt;0,$B178,0)</f>
        <v>0</v>
      </c>
      <c r="P178" s="2">
        <f>IF(COUNTIF(Roster!$D178:$M178,P$1)&gt;0,$B178,0)</f>
        <v>0</v>
      </c>
      <c r="Q178" s="2">
        <f>IF(COUNTIF(Roster!$D178:$M178,Q$1)&gt;0,$B178,0)</f>
        <v>0</v>
      </c>
      <c r="R178" s="2">
        <f>IF(COUNTIF(Roster!$D178:$M178,R$1)&gt;0,$B178,0)</f>
        <v>0</v>
      </c>
      <c r="S178" s="2">
        <f>IF(COUNTIF(Roster!$D178:$M178,S$1)&gt;0,$B178,0)</f>
        <v>0</v>
      </c>
      <c r="T178" s="2">
        <f>IF(COUNTIF(Roster!$D178:$M178,T$1)&gt;0,$B178,0)</f>
        <v>0</v>
      </c>
      <c r="U178" s="2">
        <f>IF(COUNTIF(Roster!$D178:$M178,U$1)&gt;0,$B178,0)</f>
        <v>0</v>
      </c>
      <c r="V178" s="2">
        <f>IF(COUNTIF(Roster!$D178:$M178,V$1)&gt;0,$B178,0)</f>
        <v>0</v>
      </c>
      <c r="W178" s="2">
        <f>IF(COUNTIF(Roster!$D178:$M178,W$1)&gt;0,$B178,0)</f>
        <v>0</v>
      </c>
      <c r="X178" s="2">
        <f t="shared" si="2"/>
        <v>0</v>
      </c>
    </row>
    <row r="179" spans="1:24" ht="15" customHeight="1" x14ac:dyDescent="0.3">
      <c r="A179" s="2">
        <f>Roster!A179</f>
        <v>178</v>
      </c>
      <c r="B179" s="2">
        <f>Roster!C179</f>
        <v>0</v>
      </c>
      <c r="C179" s="2">
        <f>IF(COUNTIF(Roster!$D179:$M179,C$1)&gt;0,$B179,0)</f>
        <v>0</v>
      </c>
      <c r="D179" s="2">
        <f>IF(COUNTIF(Roster!$D179:$M179,D$1)&gt;0,$B179,0)</f>
        <v>0</v>
      </c>
      <c r="E179" s="2">
        <f>IF(COUNTIF(Roster!$D179:$M179,E$1)&gt;0,$B179,0)</f>
        <v>0</v>
      </c>
      <c r="F179" s="2">
        <f>IF(COUNTIF(Roster!$D179:$M179,F$1)&gt;0,$B179,0)</f>
        <v>0</v>
      </c>
      <c r="G179" s="2">
        <f>IF(COUNTIF(Roster!$D179:$M179,G$1)&gt;0,$B179,0)</f>
        <v>0</v>
      </c>
      <c r="H179" s="2">
        <f>IF(COUNTIF(Roster!$D179:$M179,H$1)&gt;0,$B179,0)</f>
        <v>0</v>
      </c>
      <c r="I179" s="2">
        <f>IF(COUNTIF(Roster!$D179:$M179,I$1)&gt;0,$B179,0)</f>
        <v>0</v>
      </c>
      <c r="J179" s="2">
        <f>IF(COUNTIF(Roster!$D179:$M179,J$1)&gt;0,$B179,0)</f>
        <v>0</v>
      </c>
      <c r="K179" s="2">
        <f>IF(COUNTIF(Roster!$D179:$M179,K$1)&gt;0,$B179,0)</f>
        <v>0</v>
      </c>
      <c r="L179" s="2">
        <f>IF(COUNTIF(Roster!$D179:$M179,L$1)&gt;0,$B179,0)</f>
        <v>0</v>
      </c>
      <c r="M179" s="2">
        <f>IF(COUNTIF(Roster!$D179:$M179,M$1)&gt;0,$B179,0)</f>
        <v>0</v>
      </c>
      <c r="N179" s="2">
        <f>IF(COUNTIF(Roster!$D179:$M179,N$1)&gt;0,$B179,0)</f>
        <v>0</v>
      </c>
      <c r="O179" s="2">
        <f>IF(COUNTIF(Roster!$D179:$M179,O$1)&gt;0,$B179,0)</f>
        <v>0</v>
      </c>
      <c r="P179" s="2">
        <f>IF(COUNTIF(Roster!$D179:$M179,P$1)&gt;0,$B179,0)</f>
        <v>0</v>
      </c>
      <c r="Q179" s="2">
        <f>IF(COUNTIF(Roster!$D179:$M179,Q$1)&gt;0,$B179,0)</f>
        <v>0</v>
      </c>
      <c r="R179" s="2">
        <f>IF(COUNTIF(Roster!$D179:$M179,R$1)&gt;0,$B179,0)</f>
        <v>0</v>
      </c>
      <c r="S179" s="2">
        <f>IF(COUNTIF(Roster!$D179:$M179,S$1)&gt;0,$B179,0)</f>
        <v>0</v>
      </c>
      <c r="T179" s="2">
        <f>IF(COUNTIF(Roster!$D179:$M179,T$1)&gt;0,$B179,0)</f>
        <v>0</v>
      </c>
      <c r="U179" s="2">
        <f>IF(COUNTIF(Roster!$D179:$M179,U$1)&gt;0,$B179,0)</f>
        <v>0</v>
      </c>
      <c r="V179" s="2">
        <f>IF(COUNTIF(Roster!$D179:$M179,V$1)&gt;0,$B179,0)</f>
        <v>0</v>
      </c>
      <c r="W179" s="2">
        <f>IF(COUNTIF(Roster!$D179:$M179,W$1)&gt;0,$B179,0)</f>
        <v>0</v>
      </c>
      <c r="X179" s="2">
        <f t="shared" si="2"/>
        <v>0</v>
      </c>
    </row>
    <row r="180" spans="1:24" ht="15" customHeight="1" x14ac:dyDescent="0.3">
      <c r="A180" s="2">
        <f>Roster!A180</f>
        <v>179</v>
      </c>
      <c r="B180" s="2">
        <f>Roster!C180</f>
        <v>0</v>
      </c>
      <c r="C180" s="2">
        <f>IF(COUNTIF(Roster!$D180:$M180,C$1)&gt;0,$B180,0)</f>
        <v>0</v>
      </c>
      <c r="D180" s="2">
        <f>IF(COUNTIF(Roster!$D180:$M180,D$1)&gt;0,$B180,0)</f>
        <v>0</v>
      </c>
      <c r="E180" s="2">
        <f>IF(COUNTIF(Roster!$D180:$M180,E$1)&gt;0,$B180,0)</f>
        <v>0</v>
      </c>
      <c r="F180" s="2">
        <f>IF(COUNTIF(Roster!$D180:$M180,F$1)&gt;0,$B180,0)</f>
        <v>0</v>
      </c>
      <c r="G180" s="2">
        <f>IF(COUNTIF(Roster!$D180:$M180,G$1)&gt;0,$B180,0)</f>
        <v>0</v>
      </c>
      <c r="H180" s="2">
        <f>IF(COUNTIF(Roster!$D180:$M180,H$1)&gt;0,$B180,0)</f>
        <v>0</v>
      </c>
      <c r="I180" s="2">
        <f>IF(COUNTIF(Roster!$D180:$M180,I$1)&gt;0,$B180,0)</f>
        <v>0</v>
      </c>
      <c r="J180" s="2">
        <f>IF(COUNTIF(Roster!$D180:$M180,J$1)&gt;0,$B180,0)</f>
        <v>0</v>
      </c>
      <c r="K180" s="2">
        <f>IF(COUNTIF(Roster!$D180:$M180,K$1)&gt;0,$B180,0)</f>
        <v>0</v>
      </c>
      <c r="L180" s="2">
        <f>IF(COUNTIF(Roster!$D180:$M180,L$1)&gt;0,$B180,0)</f>
        <v>0</v>
      </c>
      <c r="M180" s="2">
        <f>IF(COUNTIF(Roster!$D180:$M180,M$1)&gt;0,$B180,0)</f>
        <v>0</v>
      </c>
      <c r="N180" s="2">
        <f>IF(COUNTIF(Roster!$D180:$M180,N$1)&gt;0,$B180,0)</f>
        <v>0</v>
      </c>
      <c r="O180" s="2">
        <f>IF(COUNTIF(Roster!$D180:$M180,O$1)&gt;0,$B180,0)</f>
        <v>0</v>
      </c>
      <c r="P180" s="2">
        <f>IF(COUNTIF(Roster!$D180:$M180,P$1)&gt;0,$B180,0)</f>
        <v>0</v>
      </c>
      <c r="Q180" s="2">
        <f>IF(COUNTIF(Roster!$D180:$M180,Q$1)&gt;0,$B180,0)</f>
        <v>0</v>
      </c>
      <c r="R180" s="2">
        <f>IF(COUNTIF(Roster!$D180:$M180,R$1)&gt;0,$B180,0)</f>
        <v>0</v>
      </c>
      <c r="S180" s="2">
        <f>IF(COUNTIF(Roster!$D180:$M180,S$1)&gt;0,$B180,0)</f>
        <v>0</v>
      </c>
      <c r="T180" s="2">
        <f>IF(COUNTIF(Roster!$D180:$M180,T$1)&gt;0,$B180,0)</f>
        <v>0</v>
      </c>
      <c r="U180" s="2">
        <f>IF(COUNTIF(Roster!$D180:$M180,U$1)&gt;0,$B180,0)</f>
        <v>0</v>
      </c>
      <c r="V180" s="2">
        <f>IF(COUNTIF(Roster!$D180:$M180,V$1)&gt;0,$B180,0)</f>
        <v>0</v>
      </c>
      <c r="W180" s="2">
        <f>IF(COUNTIF(Roster!$D180:$M180,W$1)&gt;0,$B180,0)</f>
        <v>0</v>
      </c>
      <c r="X180" s="2">
        <f t="shared" si="2"/>
        <v>0</v>
      </c>
    </row>
    <row r="181" spans="1:24" ht="15" customHeight="1" x14ac:dyDescent="0.3">
      <c r="A181" s="2">
        <f>Roster!A181</f>
        <v>180</v>
      </c>
      <c r="B181" s="2">
        <f>Roster!C181</f>
        <v>0</v>
      </c>
      <c r="C181" s="2">
        <f>IF(COUNTIF(Roster!$D181:$M181,C$1)&gt;0,$B181,0)</f>
        <v>0</v>
      </c>
      <c r="D181" s="2">
        <f>IF(COUNTIF(Roster!$D181:$M181,D$1)&gt;0,$B181,0)</f>
        <v>0</v>
      </c>
      <c r="E181" s="2">
        <f>IF(COUNTIF(Roster!$D181:$M181,E$1)&gt;0,$B181,0)</f>
        <v>0</v>
      </c>
      <c r="F181" s="2">
        <f>IF(COUNTIF(Roster!$D181:$M181,F$1)&gt;0,$B181,0)</f>
        <v>0</v>
      </c>
      <c r="G181" s="2">
        <f>IF(COUNTIF(Roster!$D181:$M181,G$1)&gt;0,$B181,0)</f>
        <v>0</v>
      </c>
      <c r="H181" s="2">
        <f>IF(COUNTIF(Roster!$D181:$M181,H$1)&gt;0,$B181,0)</f>
        <v>0</v>
      </c>
      <c r="I181" s="2">
        <f>IF(COUNTIF(Roster!$D181:$M181,I$1)&gt;0,$B181,0)</f>
        <v>0</v>
      </c>
      <c r="J181" s="2">
        <f>IF(COUNTIF(Roster!$D181:$M181,J$1)&gt;0,$B181,0)</f>
        <v>0</v>
      </c>
      <c r="K181" s="2">
        <f>IF(COUNTIF(Roster!$D181:$M181,K$1)&gt;0,$B181,0)</f>
        <v>0</v>
      </c>
      <c r="L181" s="2">
        <f>IF(COUNTIF(Roster!$D181:$M181,L$1)&gt;0,$B181,0)</f>
        <v>0</v>
      </c>
      <c r="M181" s="2">
        <f>IF(COUNTIF(Roster!$D181:$M181,M$1)&gt;0,$B181,0)</f>
        <v>0</v>
      </c>
      <c r="N181" s="2">
        <f>IF(COUNTIF(Roster!$D181:$M181,N$1)&gt;0,$B181,0)</f>
        <v>0</v>
      </c>
      <c r="O181" s="2">
        <f>IF(COUNTIF(Roster!$D181:$M181,O$1)&gt;0,$B181,0)</f>
        <v>0</v>
      </c>
      <c r="P181" s="2">
        <f>IF(COUNTIF(Roster!$D181:$M181,P$1)&gt;0,$B181,0)</f>
        <v>0</v>
      </c>
      <c r="Q181" s="2">
        <f>IF(COUNTIF(Roster!$D181:$M181,Q$1)&gt;0,$B181,0)</f>
        <v>0</v>
      </c>
      <c r="R181" s="2">
        <f>IF(COUNTIF(Roster!$D181:$M181,R$1)&gt;0,$B181,0)</f>
        <v>0</v>
      </c>
      <c r="S181" s="2">
        <f>IF(COUNTIF(Roster!$D181:$M181,S$1)&gt;0,$B181,0)</f>
        <v>0</v>
      </c>
      <c r="T181" s="2">
        <f>IF(COUNTIF(Roster!$D181:$M181,T$1)&gt;0,$B181,0)</f>
        <v>0</v>
      </c>
      <c r="U181" s="2">
        <f>IF(COUNTIF(Roster!$D181:$M181,U$1)&gt;0,$B181,0)</f>
        <v>0</v>
      </c>
      <c r="V181" s="2">
        <f>IF(COUNTIF(Roster!$D181:$M181,V$1)&gt;0,$B181,0)</f>
        <v>0</v>
      </c>
      <c r="W181" s="2">
        <f>IF(COUNTIF(Roster!$D181:$M181,W$1)&gt;0,$B181,0)</f>
        <v>0</v>
      </c>
      <c r="X181" s="2">
        <f t="shared" si="2"/>
        <v>0</v>
      </c>
    </row>
    <row r="182" spans="1:24" ht="15" customHeight="1" x14ac:dyDescent="0.3">
      <c r="A182" s="2">
        <f>Roster!A182</f>
        <v>181</v>
      </c>
      <c r="B182" s="2">
        <f>Roster!C182</f>
        <v>0</v>
      </c>
      <c r="C182" s="2">
        <f>IF(COUNTIF(Roster!$D182:$M182,C$1)&gt;0,$B182,0)</f>
        <v>0</v>
      </c>
      <c r="D182" s="2">
        <f>IF(COUNTIF(Roster!$D182:$M182,D$1)&gt;0,$B182,0)</f>
        <v>0</v>
      </c>
      <c r="E182" s="2">
        <f>IF(COUNTIF(Roster!$D182:$M182,E$1)&gt;0,$B182,0)</f>
        <v>0</v>
      </c>
      <c r="F182" s="2">
        <f>IF(COUNTIF(Roster!$D182:$M182,F$1)&gt;0,$B182,0)</f>
        <v>0</v>
      </c>
      <c r="G182" s="2">
        <f>IF(COUNTIF(Roster!$D182:$M182,G$1)&gt;0,$B182,0)</f>
        <v>0</v>
      </c>
      <c r="H182" s="2">
        <f>IF(COUNTIF(Roster!$D182:$M182,H$1)&gt;0,$B182,0)</f>
        <v>0</v>
      </c>
      <c r="I182" s="2">
        <f>IF(COUNTIF(Roster!$D182:$M182,I$1)&gt;0,$B182,0)</f>
        <v>0</v>
      </c>
      <c r="J182" s="2">
        <f>IF(COUNTIF(Roster!$D182:$M182,J$1)&gt;0,$B182,0)</f>
        <v>0</v>
      </c>
      <c r="K182" s="2">
        <f>IF(COUNTIF(Roster!$D182:$M182,K$1)&gt;0,$B182,0)</f>
        <v>0</v>
      </c>
      <c r="L182" s="2">
        <f>IF(COUNTIF(Roster!$D182:$M182,L$1)&gt;0,$B182,0)</f>
        <v>0</v>
      </c>
      <c r="M182" s="2">
        <f>IF(COUNTIF(Roster!$D182:$M182,M$1)&gt;0,$B182,0)</f>
        <v>0</v>
      </c>
      <c r="N182" s="2">
        <f>IF(COUNTIF(Roster!$D182:$M182,N$1)&gt;0,$B182,0)</f>
        <v>0</v>
      </c>
      <c r="O182" s="2">
        <f>IF(COUNTIF(Roster!$D182:$M182,O$1)&gt;0,$B182,0)</f>
        <v>0</v>
      </c>
      <c r="P182" s="2">
        <f>IF(COUNTIF(Roster!$D182:$M182,P$1)&gt;0,$B182,0)</f>
        <v>0</v>
      </c>
      <c r="Q182" s="2">
        <f>IF(COUNTIF(Roster!$D182:$M182,Q$1)&gt;0,$B182,0)</f>
        <v>0</v>
      </c>
      <c r="R182" s="2">
        <f>IF(COUNTIF(Roster!$D182:$M182,R$1)&gt;0,$B182,0)</f>
        <v>0</v>
      </c>
      <c r="S182" s="2">
        <f>IF(COUNTIF(Roster!$D182:$M182,S$1)&gt;0,$B182,0)</f>
        <v>0</v>
      </c>
      <c r="T182" s="2">
        <f>IF(COUNTIF(Roster!$D182:$M182,T$1)&gt;0,$B182,0)</f>
        <v>0</v>
      </c>
      <c r="U182" s="2">
        <f>IF(COUNTIF(Roster!$D182:$M182,U$1)&gt;0,$B182,0)</f>
        <v>0</v>
      </c>
      <c r="V182" s="2">
        <f>IF(COUNTIF(Roster!$D182:$M182,V$1)&gt;0,$B182,0)</f>
        <v>0</v>
      </c>
      <c r="W182" s="2">
        <f>IF(COUNTIF(Roster!$D182:$M182,W$1)&gt;0,$B182,0)</f>
        <v>0</v>
      </c>
      <c r="X182" s="2">
        <f t="shared" si="2"/>
        <v>0</v>
      </c>
    </row>
    <row r="183" spans="1:24" ht="15" customHeight="1" x14ac:dyDescent="0.3">
      <c r="A183" s="2">
        <f>Roster!A183</f>
        <v>182</v>
      </c>
      <c r="B183" s="2">
        <f>Roster!C183</f>
        <v>0</v>
      </c>
      <c r="C183" s="2">
        <f>IF(COUNTIF(Roster!$D183:$M183,C$1)&gt;0,$B183,0)</f>
        <v>0</v>
      </c>
      <c r="D183" s="2">
        <f>IF(COUNTIF(Roster!$D183:$M183,D$1)&gt;0,$B183,0)</f>
        <v>0</v>
      </c>
      <c r="E183" s="2">
        <f>IF(COUNTIF(Roster!$D183:$M183,E$1)&gt;0,$B183,0)</f>
        <v>0</v>
      </c>
      <c r="F183" s="2">
        <f>IF(COUNTIF(Roster!$D183:$M183,F$1)&gt;0,$B183,0)</f>
        <v>0</v>
      </c>
      <c r="G183" s="2">
        <f>IF(COUNTIF(Roster!$D183:$M183,G$1)&gt;0,$B183,0)</f>
        <v>0</v>
      </c>
      <c r="H183" s="2">
        <f>IF(COUNTIF(Roster!$D183:$M183,H$1)&gt;0,$B183,0)</f>
        <v>0</v>
      </c>
      <c r="I183" s="2">
        <f>IF(COUNTIF(Roster!$D183:$M183,I$1)&gt;0,$B183,0)</f>
        <v>0</v>
      </c>
      <c r="J183" s="2">
        <f>IF(COUNTIF(Roster!$D183:$M183,J$1)&gt;0,$B183,0)</f>
        <v>0</v>
      </c>
      <c r="K183" s="2">
        <f>IF(COUNTIF(Roster!$D183:$M183,K$1)&gt;0,$B183,0)</f>
        <v>0</v>
      </c>
      <c r="L183" s="2">
        <f>IF(COUNTIF(Roster!$D183:$M183,L$1)&gt;0,$B183,0)</f>
        <v>0</v>
      </c>
      <c r="M183" s="2">
        <f>IF(COUNTIF(Roster!$D183:$M183,M$1)&gt;0,$B183,0)</f>
        <v>0</v>
      </c>
      <c r="N183" s="2">
        <f>IF(COUNTIF(Roster!$D183:$M183,N$1)&gt;0,$B183,0)</f>
        <v>0</v>
      </c>
      <c r="O183" s="2">
        <f>IF(COUNTIF(Roster!$D183:$M183,O$1)&gt;0,$B183,0)</f>
        <v>0</v>
      </c>
      <c r="P183" s="2">
        <f>IF(COUNTIF(Roster!$D183:$M183,P$1)&gt;0,$B183,0)</f>
        <v>0</v>
      </c>
      <c r="Q183" s="2">
        <f>IF(COUNTIF(Roster!$D183:$M183,Q$1)&gt;0,$B183,0)</f>
        <v>0</v>
      </c>
      <c r="R183" s="2">
        <f>IF(COUNTIF(Roster!$D183:$M183,R$1)&gt;0,$B183,0)</f>
        <v>0</v>
      </c>
      <c r="S183" s="2">
        <f>IF(COUNTIF(Roster!$D183:$M183,S$1)&gt;0,$B183,0)</f>
        <v>0</v>
      </c>
      <c r="T183" s="2">
        <f>IF(COUNTIF(Roster!$D183:$M183,T$1)&gt;0,$B183,0)</f>
        <v>0</v>
      </c>
      <c r="U183" s="2">
        <f>IF(COUNTIF(Roster!$D183:$M183,U$1)&gt;0,$B183,0)</f>
        <v>0</v>
      </c>
      <c r="V183" s="2">
        <f>IF(COUNTIF(Roster!$D183:$M183,V$1)&gt;0,$B183,0)</f>
        <v>0</v>
      </c>
      <c r="W183" s="2">
        <f>IF(COUNTIF(Roster!$D183:$M183,W$1)&gt;0,$B183,0)</f>
        <v>0</v>
      </c>
      <c r="X183" s="2">
        <f t="shared" si="2"/>
        <v>0</v>
      </c>
    </row>
    <row r="184" spans="1:24" ht="15" customHeight="1" x14ac:dyDescent="0.3">
      <c r="A184" s="2">
        <f>Roster!A184</f>
        <v>183</v>
      </c>
      <c r="B184" s="2">
        <f>Roster!C184</f>
        <v>0</v>
      </c>
      <c r="C184" s="2">
        <f>IF(COUNTIF(Roster!$D184:$M184,C$1)&gt;0,$B184,0)</f>
        <v>0</v>
      </c>
      <c r="D184" s="2">
        <f>IF(COUNTIF(Roster!$D184:$M184,D$1)&gt;0,$B184,0)</f>
        <v>0</v>
      </c>
      <c r="E184" s="2">
        <f>IF(COUNTIF(Roster!$D184:$M184,E$1)&gt;0,$B184,0)</f>
        <v>0</v>
      </c>
      <c r="F184" s="2">
        <f>IF(COUNTIF(Roster!$D184:$M184,F$1)&gt;0,$B184,0)</f>
        <v>0</v>
      </c>
      <c r="G184" s="2">
        <f>IF(COUNTIF(Roster!$D184:$M184,G$1)&gt;0,$B184,0)</f>
        <v>0</v>
      </c>
      <c r="H184" s="2">
        <f>IF(COUNTIF(Roster!$D184:$M184,H$1)&gt;0,$B184,0)</f>
        <v>0</v>
      </c>
      <c r="I184" s="2">
        <f>IF(COUNTIF(Roster!$D184:$M184,I$1)&gt;0,$B184,0)</f>
        <v>0</v>
      </c>
      <c r="J184" s="2">
        <f>IF(COUNTIF(Roster!$D184:$M184,J$1)&gt;0,$B184,0)</f>
        <v>0</v>
      </c>
      <c r="K184" s="2">
        <f>IF(COUNTIF(Roster!$D184:$M184,K$1)&gt;0,$B184,0)</f>
        <v>0</v>
      </c>
      <c r="L184" s="2">
        <f>IF(COUNTIF(Roster!$D184:$M184,L$1)&gt;0,$B184,0)</f>
        <v>0</v>
      </c>
      <c r="M184" s="2">
        <f>IF(COUNTIF(Roster!$D184:$M184,M$1)&gt;0,$B184,0)</f>
        <v>0</v>
      </c>
      <c r="N184" s="2">
        <f>IF(COUNTIF(Roster!$D184:$M184,N$1)&gt;0,$B184,0)</f>
        <v>0</v>
      </c>
      <c r="O184" s="2">
        <f>IF(COUNTIF(Roster!$D184:$M184,O$1)&gt;0,$B184,0)</f>
        <v>0</v>
      </c>
      <c r="P184" s="2">
        <f>IF(COUNTIF(Roster!$D184:$M184,P$1)&gt;0,$B184,0)</f>
        <v>0</v>
      </c>
      <c r="Q184" s="2">
        <f>IF(COUNTIF(Roster!$D184:$M184,Q$1)&gt;0,$B184,0)</f>
        <v>0</v>
      </c>
      <c r="R184" s="2">
        <f>IF(COUNTIF(Roster!$D184:$M184,R$1)&gt;0,$B184,0)</f>
        <v>0</v>
      </c>
      <c r="S184" s="2">
        <f>IF(COUNTIF(Roster!$D184:$M184,S$1)&gt;0,$B184,0)</f>
        <v>0</v>
      </c>
      <c r="T184" s="2">
        <f>IF(COUNTIF(Roster!$D184:$M184,T$1)&gt;0,$B184,0)</f>
        <v>0</v>
      </c>
      <c r="U184" s="2">
        <f>IF(COUNTIF(Roster!$D184:$M184,U$1)&gt;0,$B184,0)</f>
        <v>0</v>
      </c>
      <c r="V184" s="2">
        <f>IF(COUNTIF(Roster!$D184:$M184,V$1)&gt;0,$B184,0)</f>
        <v>0</v>
      </c>
      <c r="W184" s="2">
        <f>IF(COUNTIF(Roster!$D184:$M184,W$1)&gt;0,$B184,0)</f>
        <v>0</v>
      </c>
      <c r="X184" s="2">
        <f t="shared" si="2"/>
        <v>0</v>
      </c>
    </row>
    <row r="185" spans="1:24" ht="15" customHeight="1" x14ac:dyDescent="0.3">
      <c r="A185" s="2">
        <f>Roster!A185</f>
        <v>184</v>
      </c>
      <c r="B185" s="2">
        <f>Roster!C185</f>
        <v>0</v>
      </c>
      <c r="C185" s="2">
        <f>IF(COUNTIF(Roster!$D185:$M185,C$1)&gt;0,$B185,0)</f>
        <v>0</v>
      </c>
      <c r="D185" s="2">
        <f>IF(COUNTIF(Roster!$D185:$M185,D$1)&gt;0,$B185,0)</f>
        <v>0</v>
      </c>
      <c r="E185" s="2">
        <f>IF(COUNTIF(Roster!$D185:$M185,E$1)&gt;0,$B185,0)</f>
        <v>0</v>
      </c>
      <c r="F185" s="2">
        <f>IF(COUNTIF(Roster!$D185:$M185,F$1)&gt;0,$B185,0)</f>
        <v>0</v>
      </c>
      <c r="G185" s="2">
        <f>IF(COUNTIF(Roster!$D185:$M185,G$1)&gt;0,$B185,0)</f>
        <v>0</v>
      </c>
      <c r="H185" s="2">
        <f>IF(COUNTIF(Roster!$D185:$M185,H$1)&gt;0,$B185,0)</f>
        <v>0</v>
      </c>
      <c r="I185" s="2">
        <f>IF(COUNTIF(Roster!$D185:$M185,I$1)&gt;0,$B185,0)</f>
        <v>0</v>
      </c>
      <c r="J185" s="2">
        <f>IF(COUNTIF(Roster!$D185:$M185,J$1)&gt;0,$B185,0)</f>
        <v>0</v>
      </c>
      <c r="K185" s="2">
        <f>IF(COUNTIF(Roster!$D185:$M185,K$1)&gt;0,$B185,0)</f>
        <v>0</v>
      </c>
      <c r="L185" s="2">
        <f>IF(COUNTIF(Roster!$D185:$M185,L$1)&gt;0,$B185,0)</f>
        <v>0</v>
      </c>
      <c r="M185" s="2">
        <f>IF(COUNTIF(Roster!$D185:$M185,M$1)&gt;0,$B185,0)</f>
        <v>0</v>
      </c>
      <c r="N185" s="2">
        <f>IF(COUNTIF(Roster!$D185:$M185,N$1)&gt;0,$B185,0)</f>
        <v>0</v>
      </c>
      <c r="O185" s="2">
        <f>IF(COUNTIF(Roster!$D185:$M185,O$1)&gt;0,$B185,0)</f>
        <v>0</v>
      </c>
      <c r="P185" s="2">
        <f>IF(COUNTIF(Roster!$D185:$M185,P$1)&gt;0,$B185,0)</f>
        <v>0</v>
      </c>
      <c r="Q185" s="2">
        <f>IF(COUNTIF(Roster!$D185:$M185,Q$1)&gt;0,$B185,0)</f>
        <v>0</v>
      </c>
      <c r="R185" s="2">
        <f>IF(COUNTIF(Roster!$D185:$M185,R$1)&gt;0,$B185,0)</f>
        <v>0</v>
      </c>
      <c r="S185" s="2">
        <f>IF(COUNTIF(Roster!$D185:$M185,S$1)&gt;0,$B185,0)</f>
        <v>0</v>
      </c>
      <c r="T185" s="2">
        <f>IF(COUNTIF(Roster!$D185:$M185,T$1)&gt;0,$B185,0)</f>
        <v>0</v>
      </c>
      <c r="U185" s="2">
        <f>IF(COUNTIF(Roster!$D185:$M185,U$1)&gt;0,$B185,0)</f>
        <v>0</v>
      </c>
      <c r="V185" s="2">
        <f>IF(COUNTIF(Roster!$D185:$M185,V$1)&gt;0,$B185,0)</f>
        <v>0</v>
      </c>
      <c r="W185" s="2">
        <f>IF(COUNTIF(Roster!$D185:$M185,W$1)&gt;0,$B185,0)</f>
        <v>0</v>
      </c>
      <c r="X185" s="2">
        <f t="shared" si="2"/>
        <v>0</v>
      </c>
    </row>
    <row r="186" spans="1:24" ht="15" customHeight="1" x14ac:dyDescent="0.3">
      <c r="A186" s="2">
        <f>Roster!A186</f>
        <v>185</v>
      </c>
      <c r="B186" s="2">
        <f>Roster!C186</f>
        <v>0</v>
      </c>
      <c r="C186" s="2">
        <f>IF(COUNTIF(Roster!$D186:$M186,C$1)&gt;0,$B186,0)</f>
        <v>0</v>
      </c>
      <c r="D186" s="2">
        <f>IF(COUNTIF(Roster!$D186:$M186,D$1)&gt;0,$B186,0)</f>
        <v>0</v>
      </c>
      <c r="E186" s="2">
        <f>IF(COUNTIF(Roster!$D186:$M186,E$1)&gt;0,$B186,0)</f>
        <v>0</v>
      </c>
      <c r="F186" s="2">
        <f>IF(COUNTIF(Roster!$D186:$M186,F$1)&gt;0,$B186,0)</f>
        <v>0</v>
      </c>
      <c r="G186" s="2">
        <f>IF(COUNTIF(Roster!$D186:$M186,G$1)&gt;0,$B186,0)</f>
        <v>0</v>
      </c>
      <c r="H186" s="2">
        <f>IF(COUNTIF(Roster!$D186:$M186,H$1)&gt;0,$B186,0)</f>
        <v>0</v>
      </c>
      <c r="I186" s="2">
        <f>IF(COUNTIF(Roster!$D186:$M186,I$1)&gt;0,$B186,0)</f>
        <v>0</v>
      </c>
      <c r="J186" s="2">
        <f>IF(COUNTIF(Roster!$D186:$M186,J$1)&gt;0,$B186,0)</f>
        <v>0</v>
      </c>
      <c r="K186" s="2">
        <f>IF(COUNTIF(Roster!$D186:$M186,K$1)&gt;0,$B186,0)</f>
        <v>0</v>
      </c>
      <c r="L186" s="2">
        <f>IF(COUNTIF(Roster!$D186:$M186,L$1)&gt;0,$B186,0)</f>
        <v>0</v>
      </c>
      <c r="M186" s="2">
        <f>IF(COUNTIF(Roster!$D186:$M186,M$1)&gt;0,$B186,0)</f>
        <v>0</v>
      </c>
      <c r="N186" s="2">
        <f>IF(COUNTIF(Roster!$D186:$M186,N$1)&gt;0,$B186,0)</f>
        <v>0</v>
      </c>
      <c r="O186" s="2">
        <f>IF(COUNTIF(Roster!$D186:$M186,O$1)&gt;0,$B186,0)</f>
        <v>0</v>
      </c>
      <c r="P186" s="2">
        <f>IF(COUNTIF(Roster!$D186:$M186,P$1)&gt;0,$B186,0)</f>
        <v>0</v>
      </c>
      <c r="Q186" s="2">
        <f>IF(COUNTIF(Roster!$D186:$M186,Q$1)&gt;0,$B186,0)</f>
        <v>0</v>
      </c>
      <c r="R186" s="2">
        <f>IF(COUNTIF(Roster!$D186:$M186,R$1)&gt;0,$B186,0)</f>
        <v>0</v>
      </c>
      <c r="S186" s="2">
        <f>IF(COUNTIF(Roster!$D186:$M186,S$1)&gt;0,$B186,0)</f>
        <v>0</v>
      </c>
      <c r="T186" s="2">
        <f>IF(COUNTIF(Roster!$D186:$M186,T$1)&gt;0,$B186,0)</f>
        <v>0</v>
      </c>
      <c r="U186" s="2">
        <f>IF(COUNTIF(Roster!$D186:$M186,U$1)&gt;0,$B186,0)</f>
        <v>0</v>
      </c>
      <c r="V186" s="2">
        <f>IF(COUNTIF(Roster!$D186:$M186,V$1)&gt;0,$B186,0)</f>
        <v>0</v>
      </c>
      <c r="W186" s="2">
        <f>IF(COUNTIF(Roster!$D186:$M186,W$1)&gt;0,$B186,0)</f>
        <v>0</v>
      </c>
      <c r="X186" s="2">
        <f t="shared" si="2"/>
        <v>0</v>
      </c>
    </row>
    <row r="187" spans="1:24" ht="15" customHeight="1" x14ac:dyDescent="0.3">
      <c r="A187" s="2">
        <f>Roster!A187</f>
        <v>186</v>
      </c>
      <c r="B187" s="2">
        <f>Roster!C187</f>
        <v>0</v>
      </c>
      <c r="C187" s="2">
        <f>IF(COUNTIF(Roster!$D187:$M187,C$1)&gt;0,$B187,0)</f>
        <v>0</v>
      </c>
      <c r="D187" s="2">
        <f>IF(COUNTIF(Roster!$D187:$M187,D$1)&gt;0,$B187,0)</f>
        <v>0</v>
      </c>
      <c r="E187" s="2">
        <f>IF(COUNTIF(Roster!$D187:$M187,E$1)&gt;0,$B187,0)</f>
        <v>0</v>
      </c>
      <c r="F187" s="2">
        <f>IF(COUNTIF(Roster!$D187:$M187,F$1)&gt;0,$B187,0)</f>
        <v>0</v>
      </c>
      <c r="G187" s="2">
        <f>IF(COUNTIF(Roster!$D187:$M187,G$1)&gt;0,$B187,0)</f>
        <v>0</v>
      </c>
      <c r="H187" s="2">
        <f>IF(COUNTIF(Roster!$D187:$M187,H$1)&gt;0,$B187,0)</f>
        <v>0</v>
      </c>
      <c r="I187" s="2">
        <f>IF(COUNTIF(Roster!$D187:$M187,I$1)&gt;0,$B187,0)</f>
        <v>0</v>
      </c>
      <c r="J187" s="2">
        <f>IF(COUNTIF(Roster!$D187:$M187,J$1)&gt;0,$B187,0)</f>
        <v>0</v>
      </c>
      <c r="K187" s="2">
        <f>IF(COUNTIF(Roster!$D187:$M187,K$1)&gt;0,$B187,0)</f>
        <v>0</v>
      </c>
      <c r="L187" s="2">
        <f>IF(COUNTIF(Roster!$D187:$M187,L$1)&gt;0,$B187,0)</f>
        <v>0</v>
      </c>
      <c r="M187" s="2">
        <f>IF(COUNTIF(Roster!$D187:$M187,M$1)&gt;0,$B187,0)</f>
        <v>0</v>
      </c>
      <c r="N187" s="2">
        <f>IF(COUNTIF(Roster!$D187:$M187,N$1)&gt;0,$B187,0)</f>
        <v>0</v>
      </c>
      <c r="O187" s="2">
        <f>IF(COUNTIF(Roster!$D187:$M187,O$1)&gt;0,$B187,0)</f>
        <v>0</v>
      </c>
      <c r="P187" s="2">
        <f>IF(COUNTIF(Roster!$D187:$M187,P$1)&gt;0,$B187,0)</f>
        <v>0</v>
      </c>
      <c r="Q187" s="2">
        <f>IF(COUNTIF(Roster!$D187:$M187,Q$1)&gt;0,$B187,0)</f>
        <v>0</v>
      </c>
      <c r="R187" s="2">
        <f>IF(COUNTIF(Roster!$D187:$M187,R$1)&gt;0,$B187,0)</f>
        <v>0</v>
      </c>
      <c r="S187" s="2">
        <f>IF(COUNTIF(Roster!$D187:$M187,S$1)&gt;0,$B187,0)</f>
        <v>0</v>
      </c>
      <c r="T187" s="2">
        <f>IF(COUNTIF(Roster!$D187:$M187,T$1)&gt;0,$B187,0)</f>
        <v>0</v>
      </c>
      <c r="U187" s="2">
        <f>IF(COUNTIF(Roster!$D187:$M187,U$1)&gt;0,$B187,0)</f>
        <v>0</v>
      </c>
      <c r="V187" s="2">
        <f>IF(COUNTIF(Roster!$D187:$M187,V$1)&gt;0,$B187,0)</f>
        <v>0</v>
      </c>
      <c r="W187" s="2">
        <f>IF(COUNTIF(Roster!$D187:$M187,W$1)&gt;0,$B187,0)</f>
        <v>0</v>
      </c>
      <c r="X187" s="2">
        <f t="shared" si="2"/>
        <v>0</v>
      </c>
    </row>
    <row r="188" spans="1:24" ht="15" customHeight="1" x14ac:dyDescent="0.3">
      <c r="A188" s="2">
        <f>Roster!A188</f>
        <v>187</v>
      </c>
      <c r="B188" s="2">
        <f>Roster!C188</f>
        <v>0</v>
      </c>
      <c r="C188" s="2">
        <f>IF(COUNTIF(Roster!$D188:$M188,C$1)&gt;0,$B188,0)</f>
        <v>0</v>
      </c>
      <c r="D188" s="2">
        <f>IF(COUNTIF(Roster!$D188:$M188,D$1)&gt;0,$B188,0)</f>
        <v>0</v>
      </c>
      <c r="E188" s="2">
        <f>IF(COUNTIF(Roster!$D188:$M188,E$1)&gt;0,$B188,0)</f>
        <v>0</v>
      </c>
      <c r="F188" s="2">
        <f>IF(COUNTIF(Roster!$D188:$M188,F$1)&gt;0,$B188,0)</f>
        <v>0</v>
      </c>
      <c r="G188" s="2">
        <f>IF(COUNTIF(Roster!$D188:$M188,G$1)&gt;0,$B188,0)</f>
        <v>0</v>
      </c>
      <c r="H188" s="2">
        <f>IF(COUNTIF(Roster!$D188:$M188,H$1)&gt;0,$B188,0)</f>
        <v>0</v>
      </c>
      <c r="I188" s="2">
        <f>IF(COUNTIF(Roster!$D188:$M188,I$1)&gt;0,$B188,0)</f>
        <v>0</v>
      </c>
      <c r="J188" s="2">
        <f>IF(COUNTIF(Roster!$D188:$M188,J$1)&gt;0,$B188,0)</f>
        <v>0</v>
      </c>
      <c r="K188" s="2">
        <f>IF(COUNTIF(Roster!$D188:$M188,K$1)&gt;0,$B188,0)</f>
        <v>0</v>
      </c>
      <c r="L188" s="2">
        <f>IF(COUNTIF(Roster!$D188:$M188,L$1)&gt;0,$B188,0)</f>
        <v>0</v>
      </c>
      <c r="M188" s="2">
        <f>IF(COUNTIF(Roster!$D188:$M188,M$1)&gt;0,$B188,0)</f>
        <v>0</v>
      </c>
      <c r="N188" s="2">
        <f>IF(COUNTIF(Roster!$D188:$M188,N$1)&gt;0,$B188,0)</f>
        <v>0</v>
      </c>
      <c r="O188" s="2">
        <f>IF(COUNTIF(Roster!$D188:$M188,O$1)&gt;0,$B188,0)</f>
        <v>0</v>
      </c>
      <c r="P188" s="2">
        <f>IF(COUNTIF(Roster!$D188:$M188,P$1)&gt;0,$B188,0)</f>
        <v>0</v>
      </c>
      <c r="Q188" s="2">
        <f>IF(COUNTIF(Roster!$D188:$M188,Q$1)&gt;0,$B188,0)</f>
        <v>0</v>
      </c>
      <c r="R188" s="2">
        <f>IF(COUNTIF(Roster!$D188:$M188,R$1)&gt;0,$B188,0)</f>
        <v>0</v>
      </c>
      <c r="S188" s="2">
        <f>IF(COUNTIF(Roster!$D188:$M188,S$1)&gt;0,$B188,0)</f>
        <v>0</v>
      </c>
      <c r="T188" s="2">
        <f>IF(COUNTIF(Roster!$D188:$M188,T$1)&gt;0,$B188,0)</f>
        <v>0</v>
      </c>
      <c r="U188" s="2">
        <f>IF(COUNTIF(Roster!$D188:$M188,U$1)&gt;0,$B188,0)</f>
        <v>0</v>
      </c>
      <c r="V188" s="2">
        <f>IF(COUNTIF(Roster!$D188:$M188,V$1)&gt;0,$B188,0)</f>
        <v>0</v>
      </c>
      <c r="W188" s="2">
        <f>IF(COUNTIF(Roster!$D188:$M188,W$1)&gt;0,$B188,0)</f>
        <v>0</v>
      </c>
      <c r="X188" s="2">
        <f t="shared" si="2"/>
        <v>0</v>
      </c>
    </row>
    <row r="189" spans="1:24" ht="15" customHeight="1" x14ac:dyDescent="0.3">
      <c r="A189" s="2">
        <f>Roster!A189</f>
        <v>188</v>
      </c>
      <c r="B189" s="2">
        <f>Roster!C189</f>
        <v>0</v>
      </c>
      <c r="C189" s="2">
        <f>IF(COUNTIF(Roster!$D189:$M189,C$1)&gt;0,$B189,0)</f>
        <v>0</v>
      </c>
      <c r="D189" s="2">
        <f>IF(COUNTIF(Roster!$D189:$M189,D$1)&gt;0,$B189,0)</f>
        <v>0</v>
      </c>
      <c r="E189" s="2">
        <f>IF(COUNTIF(Roster!$D189:$M189,E$1)&gt;0,$B189,0)</f>
        <v>0</v>
      </c>
      <c r="F189" s="2">
        <f>IF(COUNTIF(Roster!$D189:$M189,F$1)&gt;0,$B189,0)</f>
        <v>0</v>
      </c>
      <c r="G189" s="2">
        <f>IF(COUNTIF(Roster!$D189:$M189,G$1)&gt;0,$B189,0)</f>
        <v>0</v>
      </c>
      <c r="H189" s="2">
        <f>IF(COUNTIF(Roster!$D189:$M189,H$1)&gt;0,$B189,0)</f>
        <v>0</v>
      </c>
      <c r="I189" s="2">
        <f>IF(COUNTIF(Roster!$D189:$M189,I$1)&gt;0,$B189,0)</f>
        <v>0</v>
      </c>
      <c r="J189" s="2">
        <f>IF(COUNTIF(Roster!$D189:$M189,J$1)&gt;0,$B189,0)</f>
        <v>0</v>
      </c>
      <c r="K189" s="2">
        <f>IF(COUNTIF(Roster!$D189:$M189,K$1)&gt;0,$B189,0)</f>
        <v>0</v>
      </c>
      <c r="L189" s="2">
        <f>IF(COUNTIF(Roster!$D189:$M189,L$1)&gt;0,$B189,0)</f>
        <v>0</v>
      </c>
      <c r="M189" s="2">
        <f>IF(COUNTIF(Roster!$D189:$M189,M$1)&gt;0,$B189,0)</f>
        <v>0</v>
      </c>
      <c r="N189" s="2">
        <f>IF(COUNTIF(Roster!$D189:$M189,N$1)&gt;0,$B189,0)</f>
        <v>0</v>
      </c>
      <c r="O189" s="2">
        <f>IF(COUNTIF(Roster!$D189:$M189,O$1)&gt;0,$B189,0)</f>
        <v>0</v>
      </c>
      <c r="P189" s="2">
        <f>IF(COUNTIF(Roster!$D189:$M189,P$1)&gt;0,$B189,0)</f>
        <v>0</v>
      </c>
      <c r="Q189" s="2">
        <f>IF(COUNTIF(Roster!$D189:$M189,Q$1)&gt;0,$B189,0)</f>
        <v>0</v>
      </c>
      <c r="R189" s="2">
        <f>IF(COUNTIF(Roster!$D189:$M189,R$1)&gt;0,$B189,0)</f>
        <v>0</v>
      </c>
      <c r="S189" s="2">
        <f>IF(COUNTIF(Roster!$D189:$M189,S$1)&gt;0,$B189,0)</f>
        <v>0</v>
      </c>
      <c r="T189" s="2">
        <f>IF(COUNTIF(Roster!$D189:$M189,T$1)&gt;0,$B189,0)</f>
        <v>0</v>
      </c>
      <c r="U189" s="2">
        <f>IF(COUNTIF(Roster!$D189:$M189,U$1)&gt;0,$B189,0)</f>
        <v>0</v>
      </c>
      <c r="V189" s="2">
        <f>IF(COUNTIF(Roster!$D189:$M189,V$1)&gt;0,$B189,0)</f>
        <v>0</v>
      </c>
      <c r="W189" s="2">
        <f>IF(COUNTIF(Roster!$D189:$M189,W$1)&gt;0,$B189,0)</f>
        <v>0</v>
      </c>
      <c r="X189" s="2">
        <f t="shared" si="2"/>
        <v>0</v>
      </c>
    </row>
    <row r="190" spans="1:24" ht="15" customHeight="1" x14ac:dyDescent="0.3">
      <c r="A190" s="2">
        <f>Roster!A190</f>
        <v>189</v>
      </c>
      <c r="B190" s="2">
        <f>Roster!C190</f>
        <v>0</v>
      </c>
      <c r="C190" s="2">
        <f>IF(COUNTIF(Roster!$D190:$M190,C$1)&gt;0,$B190,0)</f>
        <v>0</v>
      </c>
      <c r="D190" s="2">
        <f>IF(COUNTIF(Roster!$D190:$M190,D$1)&gt;0,$B190,0)</f>
        <v>0</v>
      </c>
      <c r="E190" s="2">
        <f>IF(COUNTIF(Roster!$D190:$M190,E$1)&gt;0,$B190,0)</f>
        <v>0</v>
      </c>
      <c r="F190" s="2">
        <f>IF(COUNTIF(Roster!$D190:$M190,F$1)&gt;0,$B190,0)</f>
        <v>0</v>
      </c>
      <c r="G190" s="2">
        <f>IF(COUNTIF(Roster!$D190:$M190,G$1)&gt;0,$B190,0)</f>
        <v>0</v>
      </c>
      <c r="H190" s="2">
        <f>IF(COUNTIF(Roster!$D190:$M190,H$1)&gt;0,$B190,0)</f>
        <v>0</v>
      </c>
      <c r="I190" s="2">
        <f>IF(COUNTIF(Roster!$D190:$M190,I$1)&gt;0,$B190,0)</f>
        <v>0</v>
      </c>
      <c r="J190" s="2">
        <f>IF(COUNTIF(Roster!$D190:$M190,J$1)&gt;0,$B190,0)</f>
        <v>0</v>
      </c>
      <c r="K190" s="2">
        <f>IF(COUNTIF(Roster!$D190:$M190,K$1)&gt;0,$B190,0)</f>
        <v>0</v>
      </c>
      <c r="L190" s="2">
        <f>IF(COUNTIF(Roster!$D190:$M190,L$1)&gt;0,$B190,0)</f>
        <v>0</v>
      </c>
      <c r="M190" s="2">
        <f>IF(COUNTIF(Roster!$D190:$M190,M$1)&gt;0,$B190,0)</f>
        <v>0</v>
      </c>
      <c r="N190" s="2">
        <f>IF(COUNTIF(Roster!$D190:$M190,N$1)&gt;0,$B190,0)</f>
        <v>0</v>
      </c>
      <c r="O190" s="2">
        <f>IF(COUNTIF(Roster!$D190:$M190,O$1)&gt;0,$B190,0)</f>
        <v>0</v>
      </c>
      <c r="P190" s="2">
        <f>IF(COUNTIF(Roster!$D190:$M190,P$1)&gt;0,$B190,0)</f>
        <v>0</v>
      </c>
      <c r="Q190" s="2">
        <f>IF(COUNTIF(Roster!$D190:$M190,Q$1)&gt;0,$B190,0)</f>
        <v>0</v>
      </c>
      <c r="R190" s="2">
        <f>IF(COUNTIF(Roster!$D190:$M190,R$1)&gt;0,$B190,0)</f>
        <v>0</v>
      </c>
      <c r="S190" s="2">
        <f>IF(COUNTIF(Roster!$D190:$M190,S$1)&gt;0,$B190,0)</f>
        <v>0</v>
      </c>
      <c r="T190" s="2">
        <f>IF(COUNTIF(Roster!$D190:$M190,T$1)&gt;0,$B190,0)</f>
        <v>0</v>
      </c>
      <c r="U190" s="2">
        <f>IF(COUNTIF(Roster!$D190:$M190,U$1)&gt;0,$B190,0)</f>
        <v>0</v>
      </c>
      <c r="V190" s="2">
        <f>IF(COUNTIF(Roster!$D190:$M190,V$1)&gt;0,$B190,0)</f>
        <v>0</v>
      </c>
      <c r="W190" s="2">
        <f>IF(COUNTIF(Roster!$D190:$M190,W$1)&gt;0,$B190,0)</f>
        <v>0</v>
      </c>
      <c r="X190" s="2">
        <f t="shared" si="2"/>
        <v>0</v>
      </c>
    </row>
    <row r="191" spans="1:24" ht="15" customHeight="1" x14ac:dyDescent="0.3">
      <c r="A191" s="2">
        <f>Roster!A191</f>
        <v>190</v>
      </c>
      <c r="B191" s="2">
        <f>Roster!C191</f>
        <v>0</v>
      </c>
      <c r="C191" s="2">
        <f>IF(COUNTIF(Roster!$D191:$M191,C$1)&gt;0,$B191,0)</f>
        <v>0</v>
      </c>
      <c r="D191" s="2">
        <f>IF(COUNTIF(Roster!$D191:$M191,D$1)&gt;0,$B191,0)</f>
        <v>0</v>
      </c>
      <c r="E191" s="2">
        <f>IF(COUNTIF(Roster!$D191:$M191,E$1)&gt;0,$B191,0)</f>
        <v>0</v>
      </c>
      <c r="F191" s="2">
        <f>IF(COUNTIF(Roster!$D191:$M191,F$1)&gt;0,$B191,0)</f>
        <v>0</v>
      </c>
      <c r="G191" s="2">
        <f>IF(COUNTIF(Roster!$D191:$M191,G$1)&gt;0,$B191,0)</f>
        <v>0</v>
      </c>
      <c r="H191" s="2">
        <f>IF(COUNTIF(Roster!$D191:$M191,H$1)&gt;0,$B191,0)</f>
        <v>0</v>
      </c>
      <c r="I191" s="2">
        <f>IF(COUNTIF(Roster!$D191:$M191,I$1)&gt;0,$B191,0)</f>
        <v>0</v>
      </c>
      <c r="J191" s="2">
        <f>IF(COUNTIF(Roster!$D191:$M191,J$1)&gt;0,$B191,0)</f>
        <v>0</v>
      </c>
      <c r="K191" s="2">
        <f>IF(COUNTIF(Roster!$D191:$M191,K$1)&gt;0,$B191,0)</f>
        <v>0</v>
      </c>
      <c r="L191" s="2">
        <f>IF(COUNTIF(Roster!$D191:$M191,L$1)&gt;0,$B191,0)</f>
        <v>0</v>
      </c>
      <c r="M191" s="2">
        <f>IF(COUNTIF(Roster!$D191:$M191,M$1)&gt;0,$B191,0)</f>
        <v>0</v>
      </c>
      <c r="N191" s="2">
        <f>IF(COUNTIF(Roster!$D191:$M191,N$1)&gt;0,$B191,0)</f>
        <v>0</v>
      </c>
      <c r="O191" s="2">
        <f>IF(COUNTIF(Roster!$D191:$M191,O$1)&gt;0,$B191,0)</f>
        <v>0</v>
      </c>
      <c r="P191" s="2">
        <f>IF(COUNTIF(Roster!$D191:$M191,P$1)&gt;0,$B191,0)</f>
        <v>0</v>
      </c>
      <c r="Q191" s="2">
        <f>IF(COUNTIF(Roster!$D191:$M191,Q$1)&gt;0,$B191,0)</f>
        <v>0</v>
      </c>
      <c r="R191" s="2">
        <f>IF(COUNTIF(Roster!$D191:$M191,R$1)&gt;0,$B191,0)</f>
        <v>0</v>
      </c>
      <c r="S191" s="2">
        <f>IF(COUNTIF(Roster!$D191:$M191,S$1)&gt;0,$B191,0)</f>
        <v>0</v>
      </c>
      <c r="T191" s="2">
        <f>IF(COUNTIF(Roster!$D191:$M191,T$1)&gt;0,$B191,0)</f>
        <v>0</v>
      </c>
      <c r="U191" s="2">
        <f>IF(COUNTIF(Roster!$D191:$M191,U$1)&gt;0,$B191,0)</f>
        <v>0</v>
      </c>
      <c r="V191" s="2">
        <f>IF(COUNTIF(Roster!$D191:$M191,V$1)&gt;0,$B191,0)</f>
        <v>0</v>
      </c>
      <c r="W191" s="2">
        <f>IF(COUNTIF(Roster!$D191:$M191,W$1)&gt;0,$B191,0)</f>
        <v>0</v>
      </c>
      <c r="X191" s="2">
        <f t="shared" si="2"/>
        <v>0</v>
      </c>
    </row>
    <row r="192" spans="1:24" ht="15" customHeight="1" x14ac:dyDescent="0.3">
      <c r="A192" s="2">
        <f>Roster!A192</f>
        <v>191</v>
      </c>
      <c r="B192" s="2">
        <f>Roster!C192</f>
        <v>0</v>
      </c>
      <c r="C192" s="2">
        <f>IF(COUNTIF(Roster!$D192:$M192,C$1)&gt;0,$B192,0)</f>
        <v>0</v>
      </c>
      <c r="D192" s="2">
        <f>IF(COUNTIF(Roster!$D192:$M192,D$1)&gt;0,$B192,0)</f>
        <v>0</v>
      </c>
      <c r="E192" s="2">
        <f>IF(COUNTIF(Roster!$D192:$M192,E$1)&gt;0,$B192,0)</f>
        <v>0</v>
      </c>
      <c r="F192" s="2">
        <f>IF(COUNTIF(Roster!$D192:$M192,F$1)&gt;0,$B192,0)</f>
        <v>0</v>
      </c>
      <c r="G192" s="2">
        <f>IF(COUNTIF(Roster!$D192:$M192,G$1)&gt;0,$B192,0)</f>
        <v>0</v>
      </c>
      <c r="H192" s="2">
        <f>IF(COUNTIF(Roster!$D192:$M192,H$1)&gt;0,$B192,0)</f>
        <v>0</v>
      </c>
      <c r="I192" s="2">
        <f>IF(COUNTIF(Roster!$D192:$M192,I$1)&gt;0,$B192,0)</f>
        <v>0</v>
      </c>
      <c r="J192" s="2">
        <f>IF(COUNTIF(Roster!$D192:$M192,J$1)&gt;0,$B192,0)</f>
        <v>0</v>
      </c>
      <c r="K192" s="2">
        <f>IF(COUNTIF(Roster!$D192:$M192,K$1)&gt;0,$B192,0)</f>
        <v>0</v>
      </c>
      <c r="L192" s="2">
        <f>IF(COUNTIF(Roster!$D192:$M192,L$1)&gt;0,$B192,0)</f>
        <v>0</v>
      </c>
      <c r="M192" s="2">
        <f>IF(COUNTIF(Roster!$D192:$M192,M$1)&gt;0,$B192,0)</f>
        <v>0</v>
      </c>
      <c r="N192" s="2">
        <f>IF(COUNTIF(Roster!$D192:$M192,N$1)&gt;0,$B192,0)</f>
        <v>0</v>
      </c>
      <c r="O192" s="2">
        <f>IF(COUNTIF(Roster!$D192:$M192,O$1)&gt;0,$B192,0)</f>
        <v>0</v>
      </c>
      <c r="P192" s="2">
        <f>IF(COUNTIF(Roster!$D192:$M192,P$1)&gt;0,$B192,0)</f>
        <v>0</v>
      </c>
      <c r="Q192" s="2">
        <f>IF(COUNTIF(Roster!$D192:$M192,Q$1)&gt;0,$B192,0)</f>
        <v>0</v>
      </c>
      <c r="R192" s="2">
        <f>IF(COUNTIF(Roster!$D192:$M192,R$1)&gt;0,$B192,0)</f>
        <v>0</v>
      </c>
      <c r="S192" s="2">
        <f>IF(COUNTIF(Roster!$D192:$M192,S$1)&gt;0,$B192,0)</f>
        <v>0</v>
      </c>
      <c r="T192" s="2">
        <f>IF(COUNTIF(Roster!$D192:$M192,T$1)&gt;0,$B192,0)</f>
        <v>0</v>
      </c>
      <c r="U192" s="2">
        <f>IF(COUNTIF(Roster!$D192:$M192,U$1)&gt;0,$B192,0)</f>
        <v>0</v>
      </c>
      <c r="V192" s="2">
        <f>IF(COUNTIF(Roster!$D192:$M192,V$1)&gt;0,$B192,0)</f>
        <v>0</v>
      </c>
      <c r="W192" s="2">
        <f>IF(COUNTIF(Roster!$D192:$M192,W$1)&gt;0,$B192,0)</f>
        <v>0</v>
      </c>
      <c r="X192" s="2">
        <f t="shared" si="2"/>
        <v>0</v>
      </c>
    </row>
    <row r="193" spans="1:24" ht="15" customHeight="1" x14ac:dyDescent="0.3">
      <c r="A193" s="2">
        <f>Roster!A193</f>
        <v>192</v>
      </c>
      <c r="B193" s="2">
        <f>Roster!C193</f>
        <v>0</v>
      </c>
      <c r="C193" s="2">
        <f>IF(COUNTIF(Roster!$D193:$M193,C$1)&gt;0,$B193,0)</f>
        <v>0</v>
      </c>
      <c r="D193" s="2">
        <f>IF(COUNTIF(Roster!$D193:$M193,D$1)&gt;0,$B193,0)</f>
        <v>0</v>
      </c>
      <c r="E193" s="2">
        <f>IF(COUNTIF(Roster!$D193:$M193,E$1)&gt;0,$B193,0)</f>
        <v>0</v>
      </c>
      <c r="F193" s="2">
        <f>IF(COUNTIF(Roster!$D193:$M193,F$1)&gt;0,$B193,0)</f>
        <v>0</v>
      </c>
      <c r="G193" s="2">
        <f>IF(COUNTIF(Roster!$D193:$M193,G$1)&gt;0,$B193,0)</f>
        <v>0</v>
      </c>
      <c r="H193" s="2">
        <f>IF(COUNTIF(Roster!$D193:$M193,H$1)&gt;0,$B193,0)</f>
        <v>0</v>
      </c>
      <c r="I193" s="2">
        <f>IF(COUNTIF(Roster!$D193:$M193,I$1)&gt;0,$B193,0)</f>
        <v>0</v>
      </c>
      <c r="J193" s="2">
        <f>IF(COUNTIF(Roster!$D193:$M193,J$1)&gt;0,$B193,0)</f>
        <v>0</v>
      </c>
      <c r="K193" s="2">
        <f>IF(COUNTIF(Roster!$D193:$M193,K$1)&gt;0,$B193,0)</f>
        <v>0</v>
      </c>
      <c r="L193" s="2">
        <f>IF(COUNTIF(Roster!$D193:$M193,L$1)&gt;0,$B193,0)</f>
        <v>0</v>
      </c>
      <c r="M193" s="2">
        <f>IF(COUNTIF(Roster!$D193:$M193,M$1)&gt;0,$B193,0)</f>
        <v>0</v>
      </c>
      <c r="N193" s="2">
        <f>IF(COUNTIF(Roster!$D193:$M193,N$1)&gt;0,$B193,0)</f>
        <v>0</v>
      </c>
      <c r="O193" s="2">
        <f>IF(COUNTIF(Roster!$D193:$M193,O$1)&gt;0,$B193,0)</f>
        <v>0</v>
      </c>
      <c r="P193" s="2">
        <f>IF(COUNTIF(Roster!$D193:$M193,P$1)&gt;0,$B193,0)</f>
        <v>0</v>
      </c>
      <c r="Q193" s="2">
        <f>IF(COUNTIF(Roster!$D193:$M193,Q$1)&gt;0,$B193,0)</f>
        <v>0</v>
      </c>
      <c r="R193" s="2">
        <f>IF(COUNTIF(Roster!$D193:$M193,R$1)&gt;0,$B193,0)</f>
        <v>0</v>
      </c>
      <c r="S193" s="2">
        <f>IF(COUNTIF(Roster!$D193:$M193,S$1)&gt;0,$B193,0)</f>
        <v>0</v>
      </c>
      <c r="T193" s="2">
        <f>IF(COUNTIF(Roster!$D193:$M193,T$1)&gt;0,$B193,0)</f>
        <v>0</v>
      </c>
      <c r="U193" s="2">
        <f>IF(COUNTIF(Roster!$D193:$M193,U$1)&gt;0,$B193,0)</f>
        <v>0</v>
      </c>
      <c r="V193" s="2">
        <f>IF(COUNTIF(Roster!$D193:$M193,V$1)&gt;0,$B193,0)</f>
        <v>0</v>
      </c>
      <c r="W193" s="2">
        <f>IF(COUNTIF(Roster!$D193:$M193,W$1)&gt;0,$B193,0)</f>
        <v>0</v>
      </c>
      <c r="X193" s="2">
        <f t="shared" si="2"/>
        <v>0</v>
      </c>
    </row>
    <row r="194" spans="1:24" ht="15" customHeight="1" x14ac:dyDescent="0.3">
      <c r="A194" s="2">
        <f>Roster!A194</f>
        <v>193</v>
      </c>
      <c r="B194" s="2">
        <f>Roster!C194</f>
        <v>0</v>
      </c>
      <c r="C194" s="2">
        <f>IF(COUNTIF(Roster!$D194:$M194,C$1)&gt;0,$B194,0)</f>
        <v>0</v>
      </c>
      <c r="D194" s="2">
        <f>IF(COUNTIF(Roster!$D194:$M194,D$1)&gt;0,$B194,0)</f>
        <v>0</v>
      </c>
      <c r="E194" s="2">
        <f>IF(COUNTIF(Roster!$D194:$M194,E$1)&gt;0,$B194,0)</f>
        <v>0</v>
      </c>
      <c r="F194" s="2">
        <f>IF(COUNTIF(Roster!$D194:$M194,F$1)&gt;0,$B194,0)</f>
        <v>0</v>
      </c>
      <c r="G194" s="2">
        <f>IF(COUNTIF(Roster!$D194:$M194,G$1)&gt;0,$B194,0)</f>
        <v>0</v>
      </c>
      <c r="H194" s="2">
        <f>IF(COUNTIF(Roster!$D194:$M194,H$1)&gt;0,$B194,0)</f>
        <v>0</v>
      </c>
      <c r="I194" s="2">
        <f>IF(COUNTIF(Roster!$D194:$M194,I$1)&gt;0,$B194,0)</f>
        <v>0</v>
      </c>
      <c r="J194" s="2">
        <f>IF(COUNTIF(Roster!$D194:$M194,J$1)&gt;0,$B194,0)</f>
        <v>0</v>
      </c>
      <c r="K194" s="2">
        <f>IF(COUNTIF(Roster!$D194:$M194,K$1)&gt;0,$B194,0)</f>
        <v>0</v>
      </c>
      <c r="L194" s="2">
        <f>IF(COUNTIF(Roster!$D194:$M194,L$1)&gt;0,$B194,0)</f>
        <v>0</v>
      </c>
      <c r="M194" s="2">
        <f>IF(COUNTIF(Roster!$D194:$M194,M$1)&gt;0,$B194,0)</f>
        <v>0</v>
      </c>
      <c r="N194" s="2">
        <f>IF(COUNTIF(Roster!$D194:$M194,N$1)&gt;0,$B194,0)</f>
        <v>0</v>
      </c>
      <c r="O194" s="2">
        <f>IF(COUNTIF(Roster!$D194:$M194,O$1)&gt;0,$B194,0)</f>
        <v>0</v>
      </c>
      <c r="P194" s="2">
        <f>IF(COUNTIF(Roster!$D194:$M194,P$1)&gt;0,$B194,0)</f>
        <v>0</v>
      </c>
      <c r="Q194" s="2">
        <f>IF(COUNTIF(Roster!$D194:$M194,Q$1)&gt;0,$B194,0)</f>
        <v>0</v>
      </c>
      <c r="R194" s="2">
        <f>IF(COUNTIF(Roster!$D194:$M194,R$1)&gt;0,$B194,0)</f>
        <v>0</v>
      </c>
      <c r="S194" s="2">
        <f>IF(COUNTIF(Roster!$D194:$M194,S$1)&gt;0,$B194,0)</f>
        <v>0</v>
      </c>
      <c r="T194" s="2">
        <f>IF(COUNTIF(Roster!$D194:$M194,T$1)&gt;0,$B194,0)</f>
        <v>0</v>
      </c>
      <c r="U194" s="2">
        <f>IF(COUNTIF(Roster!$D194:$M194,U$1)&gt;0,$B194,0)</f>
        <v>0</v>
      </c>
      <c r="V194" s="2">
        <f>IF(COUNTIF(Roster!$D194:$M194,V$1)&gt;0,$B194,0)</f>
        <v>0</v>
      </c>
      <c r="W194" s="2">
        <f>IF(COUNTIF(Roster!$D194:$M194,W$1)&gt;0,$B194,0)</f>
        <v>0</v>
      </c>
      <c r="X194" s="2">
        <f t="shared" ref="X194:X257" si="3">SUM(H194:W194)</f>
        <v>0</v>
      </c>
    </row>
    <row r="195" spans="1:24" ht="15" customHeight="1" x14ac:dyDescent="0.3">
      <c r="A195" s="2">
        <f>Roster!A195</f>
        <v>194</v>
      </c>
      <c r="B195" s="2">
        <f>Roster!C195</f>
        <v>0</v>
      </c>
      <c r="C195" s="2">
        <f>IF(COUNTIF(Roster!$D195:$M195,C$1)&gt;0,$B195,0)</f>
        <v>0</v>
      </c>
      <c r="D195" s="2">
        <f>IF(COUNTIF(Roster!$D195:$M195,D$1)&gt;0,$B195,0)</f>
        <v>0</v>
      </c>
      <c r="E195" s="2">
        <f>IF(COUNTIF(Roster!$D195:$M195,E$1)&gt;0,$B195,0)</f>
        <v>0</v>
      </c>
      <c r="F195" s="2">
        <f>IF(COUNTIF(Roster!$D195:$M195,F$1)&gt;0,$B195,0)</f>
        <v>0</v>
      </c>
      <c r="G195" s="2">
        <f>IF(COUNTIF(Roster!$D195:$M195,G$1)&gt;0,$B195,0)</f>
        <v>0</v>
      </c>
      <c r="H195" s="2">
        <f>IF(COUNTIF(Roster!$D195:$M195,H$1)&gt;0,$B195,0)</f>
        <v>0</v>
      </c>
      <c r="I195" s="2">
        <f>IF(COUNTIF(Roster!$D195:$M195,I$1)&gt;0,$B195,0)</f>
        <v>0</v>
      </c>
      <c r="J195" s="2">
        <f>IF(COUNTIF(Roster!$D195:$M195,J$1)&gt;0,$B195,0)</f>
        <v>0</v>
      </c>
      <c r="K195" s="2">
        <f>IF(COUNTIF(Roster!$D195:$M195,K$1)&gt;0,$B195,0)</f>
        <v>0</v>
      </c>
      <c r="L195" s="2">
        <f>IF(COUNTIF(Roster!$D195:$M195,L$1)&gt;0,$B195,0)</f>
        <v>0</v>
      </c>
      <c r="M195" s="2">
        <f>IF(COUNTIF(Roster!$D195:$M195,M$1)&gt;0,$B195,0)</f>
        <v>0</v>
      </c>
      <c r="N195" s="2">
        <f>IF(COUNTIF(Roster!$D195:$M195,N$1)&gt;0,$B195,0)</f>
        <v>0</v>
      </c>
      <c r="O195" s="2">
        <f>IF(COUNTIF(Roster!$D195:$M195,O$1)&gt;0,$B195,0)</f>
        <v>0</v>
      </c>
      <c r="P195" s="2">
        <f>IF(COUNTIF(Roster!$D195:$M195,P$1)&gt;0,$B195,0)</f>
        <v>0</v>
      </c>
      <c r="Q195" s="2">
        <f>IF(COUNTIF(Roster!$D195:$M195,Q$1)&gt;0,$B195,0)</f>
        <v>0</v>
      </c>
      <c r="R195" s="2">
        <f>IF(COUNTIF(Roster!$D195:$M195,R$1)&gt;0,$B195,0)</f>
        <v>0</v>
      </c>
      <c r="S195" s="2">
        <f>IF(COUNTIF(Roster!$D195:$M195,S$1)&gt;0,$B195,0)</f>
        <v>0</v>
      </c>
      <c r="T195" s="2">
        <f>IF(COUNTIF(Roster!$D195:$M195,T$1)&gt;0,$B195,0)</f>
        <v>0</v>
      </c>
      <c r="U195" s="2">
        <f>IF(COUNTIF(Roster!$D195:$M195,U$1)&gt;0,$B195,0)</f>
        <v>0</v>
      </c>
      <c r="V195" s="2">
        <f>IF(COUNTIF(Roster!$D195:$M195,V$1)&gt;0,$B195,0)</f>
        <v>0</v>
      </c>
      <c r="W195" s="2">
        <f>IF(COUNTIF(Roster!$D195:$M195,W$1)&gt;0,$B195,0)</f>
        <v>0</v>
      </c>
      <c r="X195" s="2">
        <f t="shared" si="3"/>
        <v>0</v>
      </c>
    </row>
    <row r="196" spans="1:24" ht="15" customHeight="1" x14ac:dyDescent="0.3">
      <c r="A196" s="2">
        <f>Roster!A196</f>
        <v>195</v>
      </c>
      <c r="B196" s="2">
        <f>Roster!C196</f>
        <v>0</v>
      </c>
      <c r="C196" s="2">
        <f>IF(COUNTIF(Roster!$D196:$M196,C$1)&gt;0,$B196,0)</f>
        <v>0</v>
      </c>
      <c r="D196" s="2">
        <f>IF(COUNTIF(Roster!$D196:$M196,D$1)&gt;0,$B196,0)</f>
        <v>0</v>
      </c>
      <c r="E196" s="2">
        <f>IF(COUNTIF(Roster!$D196:$M196,E$1)&gt;0,$B196,0)</f>
        <v>0</v>
      </c>
      <c r="F196" s="2">
        <f>IF(COUNTIF(Roster!$D196:$M196,F$1)&gt;0,$B196,0)</f>
        <v>0</v>
      </c>
      <c r="G196" s="2">
        <f>IF(COUNTIF(Roster!$D196:$M196,G$1)&gt;0,$B196,0)</f>
        <v>0</v>
      </c>
      <c r="H196" s="2">
        <f>IF(COUNTIF(Roster!$D196:$M196,H$1)&gt;0,$B196,0)</f>
        <v>0</v>
      </c>
      <c r="I196" s="2">
        <f>IF(COUNTIF(Roster!$D196:$M196,I$1)&gt;0,$B196,0)</f>
        <v>0</v>
      </c>
      <c r="J196" s="2">
        <f>IF(COUNTIF(Roster!$D196:$M196,J$1)&gt;0,$B196,0)</f>
        <v>0</v>
      </c>
      <c r="K196" s="2">
        <f>IF(COUNTIF(Roster!$D196:$M196,K$1)&gt;0,$B196,0)</f>
        <v>0</v>
      </c>
      <c r="L196" s="2">
        <f>IF(COUNTIF(Roster!$D196:$M196,L$1)&gt;0,$B196,0)</f>
        <v>0</v>
      </c>
      <c r="M196" s="2">
        <f>IF(COUNTIF(Roster!$D196:$M196,M$1)&gt;0,$B196,0)</f>
        <v>0</v>
      </c>
      <c r="N196" s="2">
        <f>IF(COUNTIF(Roster!$D196:$M196,N$1)&gt;0,$B196,0)</f>
        <v>0</v>
      </c>
      <c r="O196" s="2">
        <f>IF(COUNTIF(Roster!$D196:$M196,O$1)&gt;0,$B196,0)</f>
        <v>0</v>
      </c>
      <c r="P196" s="2">
        <f>IF(COUNTIF(Roster!$D196:$M196,P$1)&gt;0,$B196,0)</f>
        <v>0</v>
      </c>
      <c r="Q196" s="2">
        <f>IF(COUNTIF(Roster!$D196:$M196,Q$1)&gt;0,$B196,0)</f>
        <v>0</v>
      </c>
      <c r="R196" s="2">
        <f>IF(COUNTIF(Roster!$D196:$M196,R$1)&gt;0,$B196,0)</f>
        <v>0</v>
      </c>
      <c r="S196" s="2">
        <f>IF(COUNTIF(Roster!$D196:$M196,S$1)&gt;0,$B196,0)</f>
        <v>0</v>
      </c>
      <c r="T196" s="2">
        <f>IF(COUNTIF(Roster!$D196:$M196,T$1)&gt;0,$B196,0)</f>
        <v>0</v>
      </c>
      <c r="U196" s="2">
        <f>IF(COUNTIF(Roster!$D196:$M196,U$1)&gt;0,$B196,0)</f>
        <v>0</v>
      </c>
      <c r="V196" s="2">
        <f>IF(COUNTIF(Roster!$D196:$M196,V$1)&gt;0,$B196,0)</f>
        <v>0</v>
      </c>
      <c r="W196" s="2">
        <f>IF(COUNTIF(Roster!$D196:$M196,W$1)&gt;0,$B196,0)</f>
        <v>0</v>
      </c>
      <c r="X196" s="2">
        <f t="shared" si="3"/>
        <v>0</v>
      </c>
    </row>
    <row r="197" spans="1:24" ht="15" customHeight="1" x14ac:dyDescent="0.3">
      <c r="A197" s="2">
        <f>Roster!A197</f>
        <v>196</v>
      </c>
      <c r="B197" s="2">
        <f>Roster!C197</f>
        <v>0</v>
      </c>
      <c r="C197" s="2">
        <f>IF(COUNTIF(Roster!$D197:$M197,C$1)&gt;0,$B197,0)</f>
        <v>0</v>
      </c>
      <c r="D197" s="2">
        <f>IF(COUNTIF(Roster!$D197:$M197,D$1)&gt;0,$B197,0)</f>
        <v>0</v>
      </c>
      <c r="E197" s="2">
        <f>IF(COUNTIF(Roster!$D197:$M197,E$1)&gt;0,$B197,0)</f>
        <v>0</v>
      </c>
      <c r="F197" s="2">
        <f>IF(COUNTIF(Roster!$D197:$M197,F$1)&gt;0,$B197,0)</f>
        <v>0</v>
      </c>
      <c r="G197" s="2">
        <f>IF(COUNTIF(Roster!$D197:$M197,G$1)&gt;0,$B197,0)</f>
        <v>0</v>
      </c>
      <c r="H197" s="2">
        <f>IF(COUNTIF(Roster!$D197:$M197,H$1)&gt;0,$B197,0)</f>
        <v>0</v>
      </c>
      <c r="I197" s="2">
        <f>IF(COUNTIF(Roster!$D197:$M197,I$1)&gt;0,$B197,0)</f>
        <v>0</v>
      </c>
      <c r="J197" s="2">
        <f>IF(COUNTIF(Roster!$D197:$M197,J$1)&gt;0,$B197,0)</f>
        <v>0</v>
      </c>
      <c r="K197" s="2">
        <f>IF(COUNTIF(Roster!$D197:$M197,K$1)&gt;0,$B197,0)</f>
        <v>0</v>
      </c>
      <c r="L197" s="2">
        <f>IF(COUNTIF(Roster!$D197:$M197,L$1)&gt;0,$B197,0)</f>
        <v>0</v>
      </c>
      <c r="M197" s="2">
        <f>IF(COUNTIF(Roster!$D197:$M197,M$1)&gt;0,$B197,0)</f>
        <v>0</v>
      </c>
      <c r="N197" s="2">
        <f>IF(COUNTIF(Roster!$D197:$M197,N$1)&gt;0,$B197,0)</f>
        <v>0</v>
      </c>
      <c r="O197" s="2">
        <f>IF(COUNTIF(Roster!$D197:$M197,O$1)&gt;0,$B197,0)</f>
        <v>0</v>
      </c>
      <c r="P197" s="2">
        <f>IF(COUNTIF(Roster!$D197:$M197,P$1)&gt;0,$B197,0)</f>
        <v>0</v>
      </c>
      <c r="Q197" s="2">
        <f>IF(COUNTIF(Roster!$D197:$M197,Q$1)&gt;0,$B197,0)</f>
        <v>0</v>
      </c>
      <c r="R197" s="2">
        <f>IF(COUNTIF(Roster!$D197:$M197,R$1)&gt;0,$B197,0)</f>
        <v>0</v>
      </c>
      <c r="S197" s="2">
        <f>IF(COUNTIF(Roster!$D197:$M197,S$1)&gt;0,$B197,0)</f>
        <v>0</v>
      </c>
      <c r="T197" s="2">
        <f>IF(COUNTIF(Roster!$D197:$M197,T$1)&gt;0,$B197,0)</f>
        <v>0</v>
      </c>
      <c r="U197" s="2">
        <f>IF(COUNTIF(Roster!$D197:$M197,U$1)&gt;0,$B197,0)</f>
        <v>0</v>
      </c>
      <c r="V197" s="2">
        <f>IF(COUNTIF(Roster!$D197:$M197,V$1)&gt;0,$B197,0)</f>
        <v>0</v>
      </c>
      <c r="W197" s="2">
        <f>IF(COUNTIF(Roster!$D197:$M197,W$1)&gt;0,$B197,0)</f>
        <v>0</v>
      </c>
      <c r="X197" s="2">
        <f t="shared" si="3"/>
        <v>0</v>
      </c>
    </row>
    <row r="198" spans="1:24" ht="15" customHeight="1" x14ac:dyDescent="0.3">
      <c r="A198" s="2">
        <f>Roster!A198</f>
        <v>197</v>
      </c>
      <c r="B198" s="2">
        <f>Roster!C198</f>
        <v>0</v>
      </c>
      <c r="C198" s="2">
        <f>IF(COUNTIF(Roster!$D198:$M198,C$1)&gt;0,$B198,0)</f>
        <v>0</v>
      </c>
      <c r="D198" s="2">
        <f>IF(COUNTIF(Roster!$D198:$M198,D$1)&gt;0,$B198,0)</f>
        <v>0</v>
      </c>
      <c r="E198" s="2">
        <f>IF(COUNTIF(Roster!$D198:$M198,E$1)&gt;0,$B198,0)</f>
        <v>0</v>
      </c>
      <c r="F198" s="2">
        <f>IF(COUNTIF(Roster!$D198:$M198,F$1)&gt;0,$B198,0)</f>
        <v>0</v>
      </c>
      <c r="G198" s="2">
        <f>IF(COUNTIF(Roster!$D198:$M198,G$1)&gt;0,$B198,0)</f>
        <v>0</v>
      </c>
      <c r="H198" s="2">
        <f>IF(COUNTIF(Roster!$D198:$M198,H$1)&gt;0,$B198,0)</f>
        <v>0</v>
      </c>
      <c r="I198" s="2">
        <f>IF(COUNTIF(Roster!$D198:$M198,I$1)&gt;0,$B198,0)</f>
        <v>0</v>
      </c>
      <c r="J198" s="2">
        <f>IF(COUNTIF(Roster!$D198:$M198,J$1)&gt;0,$B198,0)</f>
        <v>0</v>
      </c>
      <c r="K198" s="2">
        <f>IF(COUNTIF(Roster!$D198:$M198,K$1)&gt;0,$B198,0)</f>
        <v>0</v>
      </c>
      <c r="L198" s="2">
        <f>IF(COUNTIF(Roster!$D198:$M198,L$1)&gt;0,$B198,0)</f>
        <v>0</v>
      </c>
      <c r="M198" s="2">
        <f>IF(COUNTIF(Roster!$D198:$M198,M$1)&gt;0,$B198,0)</f>
        <v>0</v>
      </c>
      <c r="N198" s="2">
        <f>IF(COUNTIF(Roster!$D198:$M198,N$1)&gt;0,$B198,0)</f>
        <v>0</v>
      </c>
      <c r="O198" s="2">
        <f>IF(COUNTIF(Roster!$D198:$M198,O$1)&gt;0,$B198,0)</f>
        <v>0</v>
      </c>
      <c r="P198" s="2">
        <f>IF(COUNTIF(Roster!$D198:$M198,P$1)&gt;0,$B198,0)</f>
        <v>0</v>
      </c>
      <c r="Q198" s="2">
        <f>IF(COUNTIF(Roster!$D198:$M198,Q$1)&gt;0,$B198,0)</f>
        <v>0</v>
      </c>
      <c r="R198" s="2">
        <f>IF(COUNTIF(Roster!$D198:$M198,R$1)&gt;0,$B198,0)</f>
        <v>0</v>
      </c>
      <c r="S198" s="2">
        <f>IF(COUNTIF(Roster!$D198:$M198,S$1)&gt;0,$B198,0)</f>
        <v>0</v>
      </c>
      <c r="T198" s="2">
        <f>IF(COUNTIF(Roster!$D198:$M198,T$1)&gt;0,$B198,0)</f>
        <v>0</v>
      </c>
      <c r="U198" s="2">
        <f>IF(COUNTIF(Roster!$D198:$M198,U$1)&gt;0,$B198,0)</f>
        <v>0</v>
      </c>
      <c r="V198" s="2">
        <f>IF(COUNTIF(Roster!$D198:$M198,V$1)&gt;0,$B198,0)</f>
        <v>0</v>
      </c>
      <c r="W198" s="2">
        <f>IF(COUNTIF(Roster!$D198:$M198,W$1)&gt;0,$B198,0)</f>
        <v>0</v>
      </c>
      <c r="X198" s="2">
        <f t="shared" si="3"/>
        <v>0</v>
      </c>
    </row>
    <row r="199" spans="1:24" ht="15" customHeight="1" x14ac:dyDescent="0.3">
      <c r="A199" s="2">
        <f>Roster!A199</f>
        <v>198</v>
      </c>
      <c r="B199" s="2">
        <f>Roster!C199</f>
        <v>0</v>
      </c>
      <c r="C199" s="2">
        <f>IF(COUNTIF(Roster!$D199:$M199,C$1)&gt;0,$B199,0)</f>
        <v>0</v>
      </c>
      <c r="D199" s="2">
        <f>IF(COUNTIF(Roster!$D199:$M199,D$1)&gt;0,$B199,0)</f>
        <v>0</v>
      </c>
      <c r="E199" s="2">
        <f>IF(COUNTIF(Roster!$D199:$M199,E$1)&gt;0,$B199,0)</f>
        <v>0</v>
      </c>
      <c r="F199" s="2">
        <f>IF(COUNTIF(Roster!$D199:$M199,F$1)&gt;0,$B199,0)</f>
        <v>0</v>
      </c>
      <c r="G199" s="2">
        <f>IF(COUNTIF(Roster!$D199:$M199,G$1)&gt;0,$B199,0)</f>
        <v>0</v>
      </c>
      <c r="H199" s="2">
        <f>IF(COUNTIF(Roster!$D199:$M199,H$1)&gt;0,$B199,0)</f>
        <v>0</v>
      </c>
      <c r="I199" s="2">
        <f>IF(COUNTIF(Roster!$D199:$M199,I$1)&gt;0,$B199,0)</f>
        <v>0</v>
      </c>
      <c r="J199" s="2">
        <f>IF(COUNTIF(Roster!$D199:$M199,J$1)&gt;0,$B199,0)</f>
        <v>0</v>
      </c>
      <c r="K199" s="2">
        <f>IF(COUNTIF(Roster!$D199:$M199,K$1)&gt;0,$B199,0)</f>
        <v>0</v>
      </c>
      <c r="L199" s="2">
        <f>IF(COUNTIF(Roster!$D199:$M199,L$1)&gt;0,$B199,0)</f>
        <v>0</v>
      </c>
      <c r="M199" s="2">
        <f>IF(COUNTIF(Roster!$D199:$M199,M$1)&gt;0,$B199,0)</f>
        <v>0</v>
      </c>
      <c r="N199" s="2">
        <f>IF(COUNTIF(Roster!$D199:$M199,N$1)&gt;0,$B199,0)</f>
        <v>0</v>
      </c>
      <c r="O199" s="2">
        <f>IF(COUNTIF(Roster!$D199:$M199,O$1)&gt;0,$B199,0)</f>
        <v>0</v>
      </c>
      <c r="P199" s="2">
        <f>IF(COUNTIF(Roster!$D199:$M199,P$1)&gt;0,$B199,0)</f>
        <v>0</v>
      </c>
      <c r="Q199" s="2">
        <f>IF(COUNTIF(Roster!$D199:$M199,Q$1)&gt;0,$B199,0)</f>
        <v>0</v>
      </c>
      <c r="R199" s="2">
        <f>IF(COUNTIF(Roster!$D199:$M199,R$1)&gt;0,$B199,0)</f>
        <v>0</v>
      </c>
      <c r="S199" s="2">
        <f>IF(COUNTIF(Roster!$D199:$M199,S$1)&gt;0,$B199,0)</f>
        <v>0</v>
      </c>
      <c r="T199" s="2">
        <f>IF(COUNTIF(Roster!$D199:$M199,T$1)&gt;0,$B199,0)</f>
        <v>0</v>
      </c>
      <c r="U199" s="2">
        <f>IF(COUNTIF(Roster!$D199:$M199,U$1)&gt;0,$B199,0)</f>
        <v>0</v>
      </c>
      <c r="V199" s="2">
        <f>IF(COUNTIF(Roster!$D199:$M199,V$1)&gt;0,$B199,0)</f>
        <v>0</v>
      </c>
      <c r="W199" s="2">
        <f>IF(COUNTIF(Roster!$D199:$M199,W$1)&gt;0,$B199,0)</f>
        <v>0</v>
      </c>
      <c r="X199" s="2">
        <f t="shared" si="3"/>
        <v>0</v>
      </c>
    </row>
    <row r="200" spans="1:24" ht="15" customHeight="1" x14ac:dyDescent="0.3">
      <c r="A200" s="2">
        <f>Roster!A200</f>
        <v>199</v>
      </c>
      <c r="B200" s="2">
        <f>Roster!C200</f>
        <v>0</v>
      </c>
      <c r="C200" s="2">
        <f>IF(COUNTIF(Roster!$D200:$M200,C$1)&gt;0,$B200,0)</f>
        <v>0</v>
      </c>
      <c r="D200" s="2">
        <f>IF(COUNTIF(Roster!$D200:$M200,D$1)&gt;0,$B200,0)</f>
        <v>0</v>
      </c>
      <c r="E200" s="2">
        <f>IF(COUNTIF(Roster!$D200:$M200,E$1)&gt;0,$B200,0)</f>
        <v>0</v>
      </c>
      <c r="F200" s="2">
        <f>IF(COUNTIF(Roster!$D200:$M200,F$1)&gt;0,$B200,0)</f>
        <v>0</v>
      </c>
      <c r="G200" s="2">
        <f>IF(COUNTIF(Roster!$D200:$M200,G$1)&gt;0,$B200,0)</f>
        <v>0</v>
      </c>
      <c r="H200" s="2">
        <f>IF(COUNTIF(Roster!$D200:$M200,H$1)&gt;0,$B200,0)</f>
        <v>0</v>
      </c>
      <c r="I200" s="2">
        <f>IF(COUNTIF(Roster!$D200:$M200,I$1)&gt;0,$B200,0)</f>
        <v>0</v>
      </c>
      <c r="J200" s="2">
        <f>IF(COUNTIF(Roster!$D200:$M200,J$1)&gt;0,$B200,0)</f>
        <v>0</v>
      </c>
      <c r="K200" s="2">
        <f>IF(COUNTIF(Roster!$D200:$M200,K$1)&gt;0,$B200,0)</f>
        <v>0</v>
      </c>
      <c r="L200" s="2">
        <f>IF(COUNTIF(Roster!$D200:$M200,L$1)&gt;0,$B200,0)</f>
        <v>0</v>
      </c>
      <c r="M200" s="2">
        <f>IF(COUNTIF(Roster!$D200:$M200,M$1)&gt;0,$B200,0)</f>
        <v>0</v>
      </c>
      <c r="N200" s="2">
        <f>IF(COUNTIF(Roster!$D200:$M200,N$1)&gt;0,$B200,0)</f>
        <v>0</v>
      </c>
      <c r="O200" s="2">
        <f>IF(COUNTIF(Roster!$D200:$M200,O$1)&gt;0,$B200,0)</f>
        <v>0</v>
      </c>
      <c r="P200" s="2">
        <f>IF(COUNTIF(Roster!$D200:$M200,P$1)&gt;0,$B200,0)</f>
        <v>0</v>
      </c>
      <c r="Q200" s="2">
        <f>IF(COUNTIF(Roster!$D200:$M200,Q$1)&gt;0,$B200,0)</f>
        <v>0</v>
      </c>
      <c r="R200" s="2">
        <f>IF(COUNTIF(Roster!$D200:$M200,R$1)&gt;0,$B200,0)</f>
        <v>0</v>
      </c>
      <c r="S200" s="2">
        <f>IF(COUNTIF(Roster!$D200:$M200,S$1)&gt;0,$B200,0)</f>
        <v>0</v>
      </c>
      <c r="T200" s="2">
        <f>IF(COUNTIF(Roster!$D200:$M200,T$1)&gt;0,$B200,0)</f>
        <v>0</v>
      </c>
      <c r="U200" s="2">
        <f>IF(COUNTIF(Roster!$D200:$M200,U$1)&gt;0,$B200,0)</f>
        <v>0</v>
      </c>
      <c r="V200" s="2">
        <f>IF(COUNTIF(Roster!$D200:$M200,V$1)&gt;0,$B200,0)</f>
        <v>0</v>
      </c>
      <c r="W200" s="2">
        <f>IF(COUNTIF(Roster!$D200:$M200,W$1)&gt;0,$B200,0)</f>
        <v>0</v>
      </c>
      <c r="X200" s="2">
        <f t="shared" si="3"/>
        <v>0</v>
      </c>
    </row>
    <row r="201" spans="1:24" ht="15" customHeight="1" x14ac:dyDescent="0.3">
      <c r="A201" s="2">
        <f>Roster!A201</f>
        <v>200</v>
      </c>
      <c r="B201" s="2">
        <f>Roster!C201</f>
        <v>0</v>
      </c>
      <c r="C201" s="2">
        <f>IF(COUNTIF(Roster!$D201:$M201,C$1)&gt;0,$B201,0)</f>
        <v>0</v>
      </c>
      <c r="D201" s="2">
        <f>IF(COUNTIF(Roster!$D201:$M201,D$1)&gt;0,$B201,0)</f>
        <v>0</v>
      </c>
      <c r="E201" s="2">
        <f>IF(COUNTIF(Roster!$D201:$M201,E$1)&gt;0,$B201,0)</f>
        <v>0</v>
      </c>
      <c r="F201" s="2">
        <f>IF(COUNTIF(Roster!$D201:$M201,F$1)&gt;0,$B201,0)</f>
        <v>0</v>
      </c>
      <c r="G201" s="2">
        <f>IF(COUNTIF(Roster!$D201:$M201,G$1)&gt;0,$B201,0)</f>
        <v>0</v>
      </c>
      <c r="H201" s="2">
        <f>IF(COUNTIF(Roster!$D201:$M201,H$1)&gt;0,$B201,0)</f>
        <v>0</v>
      </c>
      <c r="I201" s="2">
        <f>IF(COUNTIF(Roster!$D201:$M201,I$1)&gt;0,$B201,0)</f>
        <v>0</v>
      </c>
      <c r="J201" s="2">
        <f>IF(COUNTIF(Roster!$D201:$M201,J$1)&gt;0,$B201,0)</f>
        <v>0</v>
      </c>
      <c r="K201" s="2">
        <f>IF(COUNTIF(Roster!$D201:$M201,K$1)&gt;0,$B201,0)</f>
        <v>0</v>
      </c>
      <c r="L201" s="2">
        <f>IF(COUNTIF(Roster!$D201:$M201,L$1)&gt;0,$B201,0)</f>
        <v>0</v>
      </c>
      <c r="M201" s="2">
        <f>IF(COUNTIF(Roster!$D201:$M201,M$1)&gt;0,$B201,0)</f>
        <v>0</v>
      </c>
      <c r="N201" s="2">
        <f>IF(COUNTIF(Roster!$D201:$M201,N$1)&gt;0,$B201,0)</f>
        <v>0</v>
      </c>
      <c r="O201" s="2">
        <f>IF(COUNTIF(Roster!$D201:$M201,O$1)&gt;0,$B201,0)</f>
        <v>0</v>
      </c>
      <c r="P201" s="2">
        <f>IF(COUNTIF(Roster!$D201:$M201,P$1)&gt;0,$B201,0)</f>
        <v>0</v>
      </c>
      <c r="Q201" s="2">
        <f>IF(COUNTIF(Roster!$D201:$M201,Q$1)&gt;0,$B201,0)</f>
        <v>0</v>
      </c>
      <c r="R201" s="2">
        <f>IF(COUNTIF(Roster!$D201:$M201,R$1)&gt;0,$B201,0)</f>
        <v>0</v>
      </c>
      <c r="S201" s="2">
        <f>IF(COUNTIF(Roster!$D201:$M201,S$1)&gt;0,$B201,0)</f>
        <v>0</v>
      </c>
      <c r="T201" s="2">
        <f>IF(COUNTIF(Roster!$D201:$M201,T$1)&gt;0,$B201,0)</f>
        <v>0</v>
      </c>
      <c r="U201" s="2">
        <f>IF(COUNTIF(Roster!$D201:$M201,U$1)&gt;0,$B201,0)</f>
        <v>0</v>
      </c>
      <c r="V201" s="2">
        <f>IF(COUNTIF(Roster!$D201:$M201,V$1)&gt;0,$B201,0)</f>
        <v>0</v>
      </c>
      <c r="W201" s="2">
        <f>IF(COUNTIF(Roster!$D201:$M201,W$1)&gt;0,$B201,0)</f>
        <v>0</v>
      </c>
      <c r="X201" s="2">
        <f t="shared" si="3"/>
        <v>0</v>
      </c>
    </row>
    <row r="202" spans="1:24" ht="15" customHeight="1" x14ac:dyDescent="0.3">
      <c r="A202" s="2">
        <f>Roster!A202</f>
        <v>201</v>
      </c>
      <c r="B202" s="2">
        <f>Roster!C202</f>
        <v>0</v>
      </c>
      <c r="C202" s="2">
        <f>IF(COUNTIF(Roster!$D202:$M202,C$1)&gt;0,$B202,0)</f>
        <v>0</v>
      </c>
      <c r="D202" s="2">
        <f>IF(COUNTIF(Roster!$D202:$M202,D$1)&gt;0,$B202,0)</f>
        <v>0</v>
      </c>
      <c r="E202" s="2">
        <f>IF(COUNTIF(Roster!$D202:$M202,E$1)&gt;0,$B202,0)</f>
        <v>0</v>
      </c>
      <c r="F202" s="2">
        <f>IF(COUNTIF(Roster!$D202:$M202,F$1)&gt;0,$B202,0)</f>
        <v>0</v>
      </c>
      <c r="G202" s="2">
        <f>IF(COUNTIF(Roster!$D202:$M202,G$1)&gt;0,$B202,0)</f>
        <v>0</v>
      </c>
      <c r="H202" s="2">
        <f>IF(COUNTIF(Roster!$D202:$M202,H$1)&gt;0,$B202,0)</f>
        <v>0</v>
      </c>
      <c r="I202" s="2">
        <f>IF(COUNTIF(Roster!$D202:$M202,I$1)&gt;0,$B202,0)</f>
        <v>0</v>
      </c>
      <c r="J202" s="2">
        <f>IF(COUNTIF(Roster!$D202:$M202,J$1)&gt;0,$B202,0)</f>
        <v>0</v>
      </c>
      <c r="K202" s="2">
        <f>IF(COUNTIF(Roster!$D202:$M202,K$1)&gt;0,$B202,0)</f>
        <v>0</v>
      </c>
      <c r="L202" s="2">
        <f>IF(COUNTIF(Roster!$D202:$M202,L$1)&gt;0,$B202,0)</f>
        <v>0</v>
      </c>
      <c r="M202" s="2">
        <f>IF(COUNTIF(Roster!$D202:$M202,M$1)&gt;0,$B202,0)</f>
        <v>0</v>
      </c>
      <c r="N202" s="2">
        <f>IF(COUNTIF(Roster!$D202:$M202,N$1)&gt;0,$B202,0)</f>
        <v>0</v>
      </c>
      <c r="O202" s="2">
        <f>IF(COUNTIF(Roster!$D202:$M202,O$1)&gt;0,$B202,0)</f>
        <v>0</v>
      </c>
      <c r="P202" s="2">
        <f>IF(COUNTIF(Roster!$D202:$M202,P$1)&gt;0,$B202,0)</f>
        <v>0</v>
      </c>
      <c r="Q202" s="2">
        <f>IF(COUNTIF(Roster!$D202:$M202,Q$1)&gt;0,$B202,0)</f>
        <v>0</v>
      </c>
      <c r="R202" s="2">
        <f>IF(COUNTIF(Roster!$D202:$M202,R$1)&gt;0,$B202,0)</f>
        <v>0</v>
      </c>
      <c r="S202" s="2">
        <f>IF(COUNTIF(Roster!$D202:$M202,S$1)&gt;0,$B202,0)</f>
        <v>0</v>
      </c>
      <c r="T202" s="2">
        <f>IF(COUNTIF(Roster!$D202:$M202,T$1)&gt;0,$B202,0)</f>
        <v>0</v>
      </c>
      <c r="U202" s="2">
        <f>IF(COUNTIF(Roster!$D202:$M202,U$1)&gt;0,$B202,0)</f>
        <v>0</v>
      </c>
      <c r="V202" s="2">
        <f>IF(COUNTIF(Roster!$D202:$M202,V$1)&gt;0,$B202,0)</f>
        <v>0</v>
      </c>
      <c r="W202" s="2">
        <f>IF(COUNTIF(Roster!$D202:$M202,W$1)&gt;0,$B202,0)</f>
        <v>0</v>
      </c>
      <c r="X202" s="2">
        <f t="shared" si="3"/>
        <v>0</v>
      </c>
    </row>
    <row r="203" spans="1:24" ht="15" customHeight="1" x14ac:dyDescent="0.3">
      <c r="A203" s="2">
        <f>Roster!A203</f>
        <v>202</v>
      </c>
      <c r="B203" s="2">
        <f>Roster!C203</f>
        <v>0</v>
      </c>
      <c r="C203" s="2">
        <f>IF(COUNTIF(Roster!$D203:$M203,C$1)&gt;0,$B203,0)</f>
        <v>0</v>
      </c>
      <c r="D203" s="2">
        <f>IF(COUNTIF(Roster!$D203:$M203,D$1)&gt;0,$B203,0)</f>
        <v>0</v>
      </c>
      <c r="E203" s="2">
        <f>IF(COUNTIF(Roster!$D203:$M203,E$1)&gt;0,$B203,0)</f>
        <v>0</v>
      </c>
      <c r="F203" s="2">
        <f>IF(COUNTIF(Roster!$D203:$M203,F$1)&gt;0,$B203,0)</f>
        <v>0</v>
      </c>
      <c r="G203" s="2">
        <f>IF(COUNTIF(Roster!$D203:$M203,G$1)&gt;0,$B203,0)</f>
        <v>0</v>
      </c>
      <c r="H203" s="2">
        <f>IF(COUNTIF(Roster!$D203:$M203,H$1)&gt;0,$B203,0)</f>
        <v>0</v>
      </c>
      <c r="I203" s="2">
        <f>IF(COUNTIF(Roster!$D203:$M203,I$1)&gt;0,$B203,0)</f>
        <v>0</v>
      </c>
      <c r="J203" s="2">
        <f>IF(COUNTIF(Roster!$D203:$M203,J$1)&gt;0,$B203,0)</f>
        <v>0</v>
      </c>
      <c r="K203" s="2">
        <f>IF(COUNTIF(Roster!$D203:$M203,K$1)&gt;0,$B203,0)</f>
        <v>0</v>
      </c>
      <c r="L203" s="2">
        <f>IF(COUNTIF(Roster!$D203:$M203,L$1)&gt;0,$B203,0)</f>
        <v>0</v>
      </c>
      <c r="M203" s="2">
        <f>IF(COUNTIF(Roster!$D203:$M203,M$1)&gt;0,$B203,0)</f>
        <v>0</v>
      </c>
      <c r="N203" s="2">
        <f>IF(COUNTIF(Roster!$D203:$M203,N$1)&gt;0,$B203,0)</f>
        <v>0</v>
      </c>
      <c r="O203" s="2">
        <f>IF(COUNTIF(Roster!$D203:$M203,O$1)&gt;0,$B203,0)</f>
        <v>0</v>
      </c>
      <c r="P203" s="2">
        <f>IF(COUNTIF(Roster!$D203:$M203,P$1)&gt;0,$B203,0)</f>
        <v>0</v>
      </c>
      <c r="Q203" s="2">
        <f>IF(COUNTIF(Roster!$D203:$M203,Q$1)&gt;0,$B203,0)</f>
        <v>0</v>
      </c>
      <c r="R203" s="2">
        <f>IF(COUNTIF(Roster!$D203:$M203,R$1)&gt;0,$B203,0)</f>
        <v>0</v>
      </c>
      <c r="S203" s="2">
        <f>IF(COUNTIF(Roster!$D203:$M203,S$1)&gt;0,$B203,0)</f>
        <v>0</v>
      </c>
      <c r="T203" s="2">
        <f>IF(COUNTIF(Roster!$D203:$M203,T$1)&gt;0,$B203,0)</f>
        <v>0</v>
      </c>
      <c r="U203" s="2">
        <f>IF(COUNTIF(Roster!$D203:$M203,U$1)&gt;0,$B203,0)</f>
        <v>0</v>
      </c>
      <c r="V203" s="2">
        <f>IF(COUNTIF(Roster!$D203:$M203,V$1)&gt;0,$B203,0)</f>
        <v>0</v>
      </c>
      <c r="W203" s="2">
        <f>IF(COUNTIF(Roster!$D203:$M203,W$1)&gt;0,$B203,0)</f>
        <v>0</v>
      </c>
      <c r="X203" s="2">
        <f t="shared" si="3"/>
        <v>0</v>
      </c>
    </row>
    <row r="204" spans="1:24" ht="15" customHeight="1" x14ac:dyDescent="0.3">
      <c r="A204" s="2">
        <f>Roster!A204</f>
        <v>203</v>
      </c>
      <c r="B204" s="2">
        <f>Roster!C204</f>
        <v>0</v>
      </c>
      <c r="C204" s="2">
        <f>IF(COUNTIF(Roster!$D204:$M204,C$1)&gt;0,$B204,0)</f>
        <v>0</v>
      </c>
      <c r="D204" s="2">
        <f>IF(COUNTIF(Roster!$D204:$M204,D$1)&gt;0,$B204,0)</f>
        <v>0</v>
      </c>
      <c r="E204" s="2">
        <f>IF(COUNTIF(Roster!$D204:$M204,E$1)&gt;0,$B204,0)</f>
        <v>0</v>
      </c>
      <c r="F204" s="2">
        <f>IF(COUNTIF(Roster!$D204:$M204,F$1)&gt;0,$B204,0)</f>
        <v>0</v>
      </c>
      <c r="G204" s="2">
        <f>IF(COUNTIF(Roster!$D204:$M204,G$1)&gt;0,$B204,0)</f>
        <v>0</v>
      </c>
      <c r="H204" s="2">
        <f>IF(COUNTIF(Roster!$D204:$M204,H$1)&gt;0,$B204,0)</f>
        <v>0</v>
      </c>
      <c r="I204" s="2">
        <f>IF(COUNTIF(Roster!$D204:$M204,I$1)&gt;0,$B204,0)</f>
        <v>0</v>
      </c>
      <c r="J204" s="2">
        <f>IF(COUNTIF(Roster!$D204:$M204,J$1)&gt;0,$B204,0)</f>
        <v>0</v>
      </c>
      <c r="K204" s="2">
        <f>IF(COUNTIF(Roster!$D204:$M204,K$1)&gt;0,$B204,0)</f>
        <v>0</v>
      </c>
      <c r="L204" s="2">
        <f>IF(COUNTIF(Roster!$D204:$M204,L$1)&gt;0,$B204,0)</f>
        <v>0</v>
      </c>
      <c r="M204" s="2">
        <f>IF(COUNTIF(Roster!$D204:$M204,M$1)&gt;0,$B204,0)</f>
        <v>0</v>
      </c>
      <c r="N204" s="2">
        <f>IF(COUNTIF(Roster!$D204:$M204,N$1)&gt;0,$B204,0)</f>
        <v>0</v>
      </c>
      <c r="O204" s="2">
        <f>IF(COUNTIF(Roster!$D204:$M204,O$1)&gt;0,$B204,0)</f>
        <v>0</v>
      </c>
      <c r="P204" s="2">
        <f>IF(COUNTIF(Roster!$D204:$M204,P$1)&gt;0,$B204,0)</f>
        <v>0</v>
      </c>
      <c r="Q204" s="2">
        <f>IF(COUNTIF(Roster!$D204:$M204,Q$1)&gt;0,$B204,0)</f>
        <v>0</v>
      </c>
      <c r="R204" s="2">
        <f>IF(COUNTIF(Roster!$D204:$M204,R$1)&gt;0,$B204,0)</f>
        <v>0</v>
      </c>
      <c r="S204" s="2">
        <f>IF(COUNTIF(Roster!$D204:$M204,S$1)&gt;0,$B204,0)</f>
        <v>0</v>
      </c>
      <c r="T204" s="2">
        <f>IF(COUNTIF(Roster!$D204:$M204,T$1)&gt;0,$B204,0)</f>
        <v>0</v>
      </c>
      <c r="U204" s="2">
        <f>IF(COUNTIF(Roster!$D204:$M204,U$1)&gt;0,$B204,0)</f>
        <v>0</v>
      </c>
      <c r="V204" s="2">
        <f>IF(COUNTIF(Roster!$D204:$M204,V$1)&gt;0,$B204,0)</f>
        <v>0</v>
      </c>
      <c r="W204" s="2">
        <f>IF(COUNTIF(Roster!$D204:$M204,W$1)&gt;0,$B204,0)</f>
        <v>0</v>
      </c>
      <c r="X204" s="2">
        <f t="shared" si="3"/>
        <v>0</v>
      </c>
    </row>
    <row r="205" spans="1:24" ht="15" customHeight="1" x14ac:dyDescent="0.3">
      <c r="A205" s="2">
        <f>Roster!A205</f>
        <v>204</v>
      </c>
      <c r="B205" s="2">
        <f>Roster!C205</f>
        <v>0</v>
      </c>
      <c r="C205" s="2">
        <f>IF(COUNTIF(Roster!$D205:$M205,C$1)&gt;0,$B205,0)</f>
        <v>0</v>
      </c>
      <c r="D205" s="2">
        <f>IF(COUNTIF(Roster!$D205:$M205,D$1)&gt;0,$B205,0)</f>
        <v>0</v>
      </c>
      <c r="E205" s="2">
        <f>IF(COUNTIF(Roster!$D205:$M205,E$1)&gt;0,$B205,0)</f>
        <v>0</v>
      </c>
      <c r="F205" s="2">
        <f>IF(COUNTIF(Roster!$D205:$M205,F$1)&gt;0,$B205,0)</f>
        <v>0</v>
      </c>
      <c r="G205" s="2">
        <f>IF(COUNTIF(Roster!$D205:$M205,G$1)&gt;0,$B205,0)</f>
        <v>0</v>
      </c>
      <c r="H205" s="2">
        <f>IF(COUNTIF(Roster!$D205:$M205,H$1)&gt;0,$B205,0)</f>
        <v>0</v>
      </c>
      <c r="I205" s="2">
        <f>IF(COUNTIF(Roster!$D205:$M205,I$1)&gt;0,$B205,0)</f>
        <v>0</v>
      </c>
      <c r="J205" s="2">
        <f>IF(COUNTIF(Roster!$D205:$M205,J$1)&gt;0,$B205,0)</f>
        <v>0</v>
      </c>
      <c r="K205" s="2">
        <f>IF(COUNTIF(Roster!$D205:$M205,K$1)&gt;0,$B205,0)</f>
        <v>0</v>
      </c>
      <c r="L205" s="2">
        <f>IF(COUNTIF(Roster!$D205:$M205,L$1)&gt;0,$B205,0)</f>
        <v>0</v>
      </c>
      <c r="M205" s="2">
        <f>IF(COUNTIF(Roster!$D205:$M205,M$1)&gt;0,$B205,0)</f>
        <v>0</v>
      </c>
      <c r="N205" s="2">
        <f>IF(COUNTIF(Roster!$D205:$M205,N$1)&gt;0,$B205,0)</f>
        <v>0</v>
      </c>
      <c r="O205" s="2">
        <f>IF(COUNTIF(Roster!$D205:$M205,O$1)&gt;0,$B205,0)</f>
        <v>0</v>
      </c>
      <c r="P205" s="2">
        <f>IF(COUNTIF(Roster!$D205:$M205,P$1)&gt;0,$B205,0)</f>
        <v>0</v>
      </c>
      <c r="Q205" s="2">
        <f>IF(COUNTIF(Roster!$D205:$M205,Q$1)&gt;0,$B205,0)</f>
        <v>0</v>
      </c>
      <c r="R205" s="2">
        <f>IF(COUNTIF(Roster!$D205:$M205,R$1)&gt;0,$B205,0)</f>
        <v>0</v>
      </c>
      <c r="S205" s="2">
        <f>IF(COUNTIF(Roster!$D205:$M205,S$1)&gt;0,$B205,0)</f>
        <v>0</v>
      </c>
      <c r="T205" s="2">
        <f>IF(COUNTIF(Roster!$D205:$M205,T$1)&gt;0,$B205,0)</f>
        <v>0</v>
      </c>
      <c r="U205" s="2">
        <f>IF(COUNTIF(Roster!$D205:$M205,U$1)&gt;0,$B205,0)</f>
        <v>0</v>
      </c>
      <c r="V205" s="2">
        <f>IF(COUNTIF(Roster!$D205:$M205,V$1)&gt;0,$B205,0)</f>
        <v>0</v>
      </c>
      <c r="W205" s="2">
        <f>IF(COUNTIF(Roster!$D205:$M205,W$1)&gt;0,$B205,0)</f>
        <v>0</v>
      </c>
      <c r="X205" s="2">
        <f t="shared" si="3"/>
        <v>0</v>
      </c>
    </row>
    <row r="206" spans="1:24" ht="15" customHeight="1" x14ac:dyDescent="0.3">
      <c r="A206" s="2">
        <f>Roster!A206</f>
        <v>205</v>
      </c>
      <c r="B206" s="2">
        <f>Roster!C206</f>
        <v>0</v>
      </c>
      <c r="C206" s="2">
        <f>IF(COUNTIF(Roster!$D206:$M206,C$1)&gt;0,$B206,0)</f>
        <v>0</v>
      </c>
      <c r="D206" s="2">
        <f>IF(COUNTIF(Roster!$D206:$M206,D$1)&gt;0,$B206,0)</f>
        <v>0</v>
      </c>
      <c r="E206" s="2">
        <f>IF(COUNTIF(Roster!$D206:$M206,E$1)&gt;0,$B206,0)</f>
        <v>0</v>
      </c>
      <c r="F206" s="2">
        <f>IF(COUNTIF(Roster!$D206:$M206,F$1)&gt;0,$B206,0)</f>
        <v>0</v>
      </c>
      <c r="G206" s="2">
        <f>IF(COUNTIF(Roster!$D206:$M206,G$1)&gt;0,$B206,0)</f>
        <v>0</v>
      </c>
      <c r="H206" s="2">
        <f>IF(COUNTIF(Roster!$D206:$M206,H$1)&gt;0,$B206,0)</f>
        <v>0</v>
      </c>
      <c r="I206" s="2">
        <f>IF(COUNTIF(Roster!$D206:$M206,I$1)&gt;0,$B206,0)</f>
        <v>0</v>
      </c>
      <c r="J206" s="2">
        <f>IF(COUNTIF(Roster!$D206:$M206,J$1)&gt;0,$B206,0)</f>
        <v>0</v>
      </c>
      <c r="K206" s="2">
        <f>IF(COUNTIF(Roster!$D206:$M206,K$1)&gt;0,$B206,0)</f>
        <v>0</v>
      </c>
      <c r="L206" s="2">
        <f>IF(COUNTIF(Roster!$D206:$M206,L$1)&gt;0,$B206,0)</f>
        <v>0</v>
      </c>
      <c r="M206" s="2">
        <f>IF(COUNTIF(Roster!$D206:$M206,M$1)&gt;0,$B206,0)</f>
        <v>0</v>
      </c>
      <c r="N206" s="2">
        <f>IF(COUNTIF(Roster!$D206:$M206,N$1)&gt;0,$B206,0)</f>
        <v>0</v>
      </c>
      <c r="O206" s="2">
        <f>IF(COUNTIF(Roster!$D206:$M206,O$1)&gt;0,$B206,0)</f>
        <v>0</v>
      </c>
      <c r="P206" s="2">
        <f>IF(COUNTIF(Roster!$D206:$M206,P$1)&gt;0,$B206,0)</f>
        <v>0</v>
      </c>
      <c r="Q206" s="2">
        <f>IF(COUNTIF(Roster!$D206:$M206,Q$1)&gt;0,$B206,0)</f>
        <v>0</v>
      </c>
      <c r="R206" s="2">
        <f>IF(COUNTIF(Roster!$D206:$M206,R$1)&gt;0,$B206,0)</f>
        <v>0</v>
      </c>
      <c r="S206" s="2">
        <f>IF(COUNTIF(Roster!$D206:$M206,S$1)&gt;0,$B206,0)</f>
        <v>0</v>
      </c>
      <c r="T206" s="2">
        <f>IF(COUNTIF(Roster!$D206:$M206,T$1)&gt;0,$B206,0)</f>
        <v>0</v>
      </c>
      <c r="U206" s="2">
        <f>IF(COUNTIF(Roster!$D206:$M206,U$1)&gt;0,$B206,0)</f>
        <v>0</v>
      </c>
      <c r="V206" s="2">
        <f>IF(COUNTIF(Roster!$D206:$M206,V$1)&gt;0,$B206,0)</f>
        <v>0</v>
      </c>
      <c r="W206" s="2">
        <f>IF(COUNTIF(Roster!$D206:$M206,W$1)&gt;0,$B206,0)</f>
        <v>0</v>
      </c>
      <c r="X206" s="2">
        <f t="shared" si="3"/>
        <v>0</v>
      </c>
    </row>
    <row r="207" spans="1:24" ht="15" customHeight="1" x14ac:dyDescent="0.3">
      <c r="A207" s="2">
        <f>Roster!A207</f>
        <v>206</v>
      </c>
      <c r="B207" s="2">
        <f>Roster!C207</f>
        <v>0</v>
      </c>
      <c r="C207" s="2">
        <f>IF(COUNTIF(Roster!$D207:$M207,C$1)&gt;0,$B207,0)</f>
        <v>0</v>
      </c>
      <c r="D207" s="2">
        <f>IF(COUNTIF(Roster!$D207:$M207,D$1)&gt;0,$B207,0)</f>
        <v>0</v>
      </c>
      <c r="E207" s="2">
        <f>IF(COUNTIF(Roster!$D207:$M207,E$1)&gt;0,$B207,0)</f>
        <v>0</v>
      </c>
      <c r="F207" s="2">
        <f>IF(COUNTIF(Roster!$D207:$M207,F$1)&gt;0,$B207,0)</f>
        <v>0</v>
      </c>
      <c r="G207" s="2">
        <f>IF(COUNTIF(Roster!$D207:$M207,G$1)&gt;0,$B207,0)</f>
        <v>0</v>
      </c>
      <c r="H207" s="2">
        <f>IF(COUNTIF(Roster!$D207:$M207,H$1)&gt;0,$B207,0)</f>
        <v>0</v>
      </c>
      <c r="I207" s="2">
        <f>IF(COUNTIF(Roster!$D207:$M207,I$1)&gt;0,$B207,0)</f>
        <v>0</v>
      </c>
      <c r="J207" s="2">
        <f>IF(COUNTIF(Roster!$D207:$M207,J$1)&gt;0,$B207,0)</f>
        <v>0</v>
      </c>
      <c r="K207" s="2">
        <f>IF(COUNTIF(Roster!$D207:$M207,K$1)&gt;0,$B207,0)</f>
        <v>0</v>
      </c>
      <c r="L207" s="2">
        <f>IF(COUNTIF(Roster!$D207:$M207,L$1)&gt;0,$B207,0)</f>
        <v>0</v>
      </c>
      <c r="M207" s="2">
        <f>IF(COUNTIF(Roster!$D207:$M207,M$1)&gt;0,$B207,0)</f>
        <v>0</v>
      </c>
      <c r="N207" s="2">
        <f>IF(COUNTIF(Roster!$D207:$M207,N$1)&gt;0,$B207,0)</f>
        <v>0</v>
      </c>
      <c r="O207" s="2">
        <f>IF(COUNTIF(Roster!$D207:$M207,O$1)&gt;0,$B207,0)</f>
        <v>0</v>
      </c>
      <c r="P207" s="2">
        <f>IF(COUNTIF(Roster!$D207:$M207,P$1)&gt;0,$B207,0)</f>
        <v>0</v>
      </c>
      <c r="Q207" s="2">
        <f>IF(COUNTIF(Roster!$D207:$M207,Q$1)&gt;0,$B207,0)</f>
        <v>0</v>
      </c>
      <c r="R207" s="2">
        <f>IF(COUNTIF(Roster!$D207:$M207,R$1)&gt;0,$B207,0)</f>
        <v>0</v>
      </c>
      <c r="S207" s="2">
        <f>IF(COUNTIF(Roster!$D207:$M207,S$1)&gt;0,$B207,0)</f>
        <v>0</v>
      </c>
      <c r="T207" s="2">
        <f>IF(COUNTIF(Roster!$D207:$M207,T$1)&gt;0,$B207,0)</f>
        <v>0</v>
      </c>
      <c r="U207" s="2">
        <f>IF(COUNTIF(Roster!$D207:$M207,U$1)&gt;0,$B207,0)</f>
        <v>0</v>
      </c>
      <c r="V207" s="2">
        <f>IF(COUNTIF(Roster!$D207:$M207,V$1)&gt;0,$B207,0)</f>
        <v>0</v>
      </c>
      <c r="W207" s="2">
        <f>IF(COUNTIF(Roster!$D207:$M207,W$1)&gt;0,$B207,0)</f>
        <v>0</v>
      </c>
      <c r="X207" s="2">
        <f t="shared" si="3"/>
        <v>0</v>
      </c>
    </row>
    <row r="208" spans="1:24" ht="15" customHeight="1" x14ac:dyDescent="0.3">
      <c r="A208" s="2">
        <f>Roster!A208</f>
        <v>207</v>
      </c>
      <c r="B208" s="2">
        <f>Roster!C208</f>
        <v>0</v>
      </c>
      <c r="C208" s="2">
        <f>IF(COUNTIF(Roster!$D208:$M208,C$1)&gt;0,$B208,0)</f>
        <v>0</v>
      </c>
      <c r="D208" s="2">
        <f>IF(COUNTIF(Roster!$D208:$M208,D$1)&gt;0,$B208,0)</f>
        <v>0</v>
      </c>
      <c r="E208" s="2">
        <f>IF(COUNTIF(Roster!$D208:$M208,E$1)&gt;0,$B208,0)</f>
        <v>0</v>
      </c>
      <c r="F208" s="2">
        <f>IF(COUNTIF(Roster!$D208:$M208,F$1)&gt;0,$B208,0)</f>
        <v>0</v>
      </c>
      <c r="G208" s="2">
        <f>IF(COUNTIF(Roster!$D208:$M208,G$1)&gt;0,$B208,0)</f>
        <v>0</v>
      </c>
      <c r="H208" s="2">
        <f>IF(COUNTIF(Roster!$D208:$M208,H$1)&gt;0,$B208,0)</f>
        <v>0</v>
      </c>
      <c r="I208" s="2">
        <f>IF(COUNTIF(Roster!$D208:$M208,I$1)&gt;0,$B208,0)</f>
        <v>0</v>
      </c>
      <c r="J208" s="2">
        <f>IF(COUNTIF(Roster!$D208:$M208,J$1)&gt;0,$B208,0)</f>
        <v>0</v>
      </c>
      <c r="K208" s="2">
        <f>IF(COUNTIF(Roster!$D208:$M208,K$1)&gt;0,$B208,0)</f>
        <v>0</v>
      </c>
      <c r="L208" s="2">
        <f>IF(COUNTIF(Roster!$D208:$M208,L$1)&gt;0,$B208,0)</f>
        <v>0</v>
      </c>
      <c r="M208" s="2">
        <f>IF(COUNTIF(Roster!$D208:$M208,M$1)&gt;0,$B208,0)</f>
        <v>0</v>
      </c>
      <c r="N208" s="2">
        <f>IF(COUNTIF(Roster!$D208:$M208,N$1)&gt;0,$B208,0)</f>
        <v>0</v>
      </c>
      <c r="O208" s="2">
        <f>IF(COUNTIF(Roster!$D208:$M208,O$1)&gt;0,$B208,0)</f>
        <v>0</v>
      </c>
      <c r="P208" s="2">
        <f>IF(COUNTIF(Roster!$D208:$M208,P$1)&gt;0,$B208,0)</f>
        <v>0</v>
      </c>
      <c r="Q208" s="2">
        <f>IF(COUNTIF(Roster!$D208:$M208,Q$1)&gt;0,$B208,0)</f>
        <v>0</v>
      </c>
      <c r="R208" s="2">
        <f>IF(COUNTIF(Roster!$D208:$M208,R$1)&gt;0,$B208,0)</f>
        <v>0</v>
      </c>
      <c r="S208" s="2">
        <f>IF(COUNTIF(Roster!$D208:$M208,S$1)&gt;0,$B208,0)</f>
        <v>0</v>
      </c>
      <c r="T208" s="2">
        <f>IF(COUNTIF(Roster!$D208:$M208,T$1)&gt;0,$B208,0)</f>
        <v>0</v>
      </c>
      <c r="U208" s="2">
        <f>IF(COUNTIF(Roster!$D208:$M208,U$1)&gt;0,$B208,0)</f>
        <v>0</v>
      </c>
      <c r="V208" s="2">
        <f>IF(COUNTIF(Roster!$D208:$M208,V$1)&gt;0,$B208,0)</f>
        <v>0</v>
      </c>
      <c r="W208" s="2">
        <f>IF(COUNTIF(Roster!$D208:$M208,W$1)&gt;0,$B208,0)</f>
        <v>0</v>
      </c>
      <c r="X208" s="2">
        <f t="shared" si="3"/>
        <v>0</v>
      </c>
    </row>
    <row r="209" spans="1:24" ht="15" customHeight="1" x14ac:dyDescent="0.3">
      <c r="A209" s="2">
        <f>Roster!A209</f>
        <v>208</v>
      </c>
      <c r="B209" s="2">
        <f>Roster!C209</f>
        <v>0</v>
      </c>
      <c r="C209" s="2">
        <f>IF(COUNTIF(Roster!$D209:$M209,C$1)&gt;0,$B209,0)</f>
        <v>0</v>
      </c>
      <c r="D209" s="2">
        <f>IF(COUNTIF(Roster!$D209:$M209,D$1)&gt;0,$B209,0)</f>
        <v>0</v>
      </c>
      <c r="E209" s="2">
        <f>IF(COUNTIF(Roster!$D209:$M209,E$1)&gt;0,$B209,0)</f>
        <v>0</v>
      </c>
      <c r="F209" s="2">
        <f>IF(COUNTIF(Roster!$D209:$M209,F$1)&gt;0,$B209,0)</f>
        <v>0</v>
      </c>
      <c r="G209" s="2">
        <f>IF(COUNTIF(Roster!$D209:$M209,G$1)&gt;0,$B209,0)</f>
        <v>0</v>
      </c>
      <c r="H209" s="2">
        <f>IF(COUNTIF(Roster!$D209:$M209,H$1)&gt;0,$B209,0)</f>
        <v>0</v>
      </c>
      <c r="I209" s="2">
        <f>IF(COUNTIF(Roster!$D209:$M209,I$1)&gt;0,$B209,0)</f>
        <v>0</v>
      </c>
      <c r="J209" s="2">
        <f>IF(COUNTIF(Roster!$D209:$M209,J$1)&gt;0,$B209,0)</f>
        <v>0</v>
      </c>
      <c r="K209" s="2">
        <f>IF(COUNTIF(Roster!$D209:$M209,K$1)&gt;0,$B209,0)</f>
        <v>0</v>
      </c>
      <c r="L209" s="2">
        <f>IF(COUNTIF(Roster!$D209:$M209,L$1)&gt;0,$B209,0)</f>
        <v>0</v>
      </c>
      <c r="M209" s="2">
        <f>IF(COUNTIF(Roster!$D209:$M209,M$1)&gt;0,$B209,0)</f>
        <v>0</v>
      </c>
      <c r="N209" s="2">
        <f>IF(COUNTIF(Roster!$D209:$M209,N$1)&gt;0,$B209,0)</f>
        <v>0</v>
      </c>
      <c r="O209" s="2">
        <f>IF(COUNTIF(Roster!$D209:$M209,O$1)&gt;0,$B209,0)</f>
        <v>0</v>
      </c>
      <c r="P209" s="2">
        <f>IF(COUNTIF(Roster!$D209:$M209,P$1)&gt;0,$B209,0)</f>
        <v>0</v>
      </c>
      <c r="Q209" s="2">
        <f>IF(COUNTIF(Roster!$D209:$M209,Q$1)&gt;0,$B209,0)</f>
        <v>0</v>
      </c>
      <c r="R209" s="2">
        <f>IF(COUNTIF(Roster!$D209:$M209,R$1)&gt;0,$B209,0)</f>
        <v>0</v>
      </c>
      <c r="S209" s="2">
        <f>IF(COUNTIF(Roster!$D209:$M209,S$1)&gt;0,$B209,0)</f>
        <v>0</v>
      </c>
      <c r="T209" s="2">
        <f>IF(COUNTIF(Roster!$D209:$M209,T$1)&gt;0,$B209,0)</f>
        <v>0</v>
      </c>
      <c r="U209" s="2">
        <f>IF(COUNTIF(Roster!$D209:$M209,U$1)&gt;0,$B209,0)</f>
        <v>0</v>
      </c>
      <c r="V209" s="2">
        <f>IF(COUNTIF(Roster!$D209:$M209,V$1)&gt;0,$B209,0)</f>
        <v>0</v>
      </c>
      <c r="W209" s="2">
        <f>IF(COUNTIF(Roster!$D209:$M209,W$1)&gt;0,$B209,0)</f>
        <v>0</v>
      </c>
      <c r="X209" s="2">
        <f t="shared" si="3"/>
        <v>0</v>
      </c>
    </row>
    <row r="210" spans="1:24" ht="15" customHeight="1" x14ac:dyDescent="0.3">
      <c r="A210" s="2">
        <f>Roster!A210</f>
        <v>209</v>
      </c>
      <c r="B210" s="2">
        <f>Roster!C210</f>
        <v>0</v>
      </c>
      <c r="C210" s="2">
        <f>IF(COUNTIF(Roster!$D210:$M210,C$1)&gt;0,$B210,0)</f>
        <v>0</v>
      </c>
      <c r="D210" s="2">
        <f>IF(COUNTIF(Roster!$D210:$M210,D$1)&gt;0,$B210,0)</f>
        <v>0</v>
      </c>
      <c r="E210" s="2">
        <f>IF(COUNTIF(Roster!$D210:$M210,E$1)&gt;0,$B210,0)</f>
        <v>0</v>
      </c>
      <c r="F210" s="2">
        <f>IF(COUNTIF(Roster!$D210:$M210,F$1)&gt;0,$B210,0)</f>
        <v>0</v>
      </c>
      <c r="G210" s="2">
        <f>IF(COUNTIF(Roster!$D210:$M210,G$1)&gt;0,$B210,0)</f>
        <v>0</v>
      </c>
      <c r="H210" s="2">
        <f>IF(COUNTIF(Roster!$D210:$M210,H$1)&gt;0,$B210,0)</f>
        <v>0</v>
      </c>
      <c r="I210" s="2">
        <f>IF(COUNTIF(Roster!$D210:$M210,I$1)&gt;0,$B210,0)</f>
        <v>0</v>
      </c>
      <c r="J210" s="2">
        <f>IF(COUNTIF(Roster!$D210:$M210,J$1)&gt;0,$B210,0)</f>
        <v>0</v>
      </c>
      <c r="K210" s="2">
        <f>IF(COUNTIF(Roster!$D210:$M210,K$1)&gt;0,$B210,0)</f>
        <v>0</v>
      </c>
      <c r="L210" s="2">
        <f>IF(COUNTIF(Roster!$D210:$M210,L$1)&gt;0,$B210,0)</f>
        <v>0</v>
      </c>
      <c r="M210" s="2">
        <f>IF(COUNTIF(Roster!$D210:$M210,M$1)&gt;0,$B210,0)</f>
        <v>0</v>
      </c>
      <c r="N210" s="2">
        <f>IF(COUNTIF(Roster!$D210:$M210,N$1)&gt;0,$B210,0)</f>
        <v>0</v>
      </c>
      <c r="O210" s="2">
        <f>IF(COUNTIF(Roster!$D210:$M210,O$1)&gt;0,$B210,0)</f>
        <v>0</v>
      </c>
      <c r="P210" s="2">
        <f>IF(COUNTIF(Roster!$D210:$M210,P$1)&gt;0,$B210,0)</f>
        <v>0</v>
      </c>
      <c r="Q210" s="2">
        <f>IF(COUNTIF(Roster!$D210:$M210,Q$1)&gt;0,$B210,0)</f>
        <v>0</v>
      </c>
      <c r="R210" s="2">
        <f>IF(COUNTIF(Roster!$D210:$M210,R$1)&gt;0,$B210,0)</f>
        <v>0</v>
      </c>
      <c r="S210" s="2">
        <f>IF(COUNTIF(Roster!$D210:$M210,S$1)&gt;0,$B210,0)</f>
        <v>0</v>
      </c>
      <c r="T210" s="2">
        <f>IF(COUNTIF(Roster!$D210:$M210,T$1)&gt;0,$B210,0)</f>
        <v>0</v>
      </c>
      <c r="U210" s="2">
        <f>IF(COUNTIF(Roster!$D210:$M210,U$1)&gt;0,$B210,0)</f>
        <v>0</v>
      </c>
      <c r="V210" s="2">
        <f>IF(COUNTIF(Roster!$D210:$M210,V$1)&gt;0,$B210,0)</f>
        <v>0</v>
      </c>
      <c r="W210" s="2">
        <f>IF(COUNTIF(Roster!$D210:$M210,W$1)&gt;0,$B210,0)</f>
        <v>0</v>
      </c>
      <c r="X210" s="2">
        <f t="shared" si="3"/>
        <v>0</v>
      </c>
    </row>
    <row r="211" spans="1:24" ht="15" customHeight="1" x14ac:dyDescent="0.3">
      <c r="A211" s="2">
        <f>Roster!A211</f>
        <v>210</v>
      </c>
      <c r="B211" s="2">
        <f>Roster!C211</f>
        <v>0</v>
      </c>
      <c r="C211" s="2">
        <f>IF(COUNTIF(Roster!$D211:$M211,C$1)&gt;0,$B211,0)</f>
        <v>0</v>
      </c>
      <c r="D211" s="2">
        <f>IF(COUNTIF(Roster!$D211:$M211,D$1)&gt;0,$B211,0)</f>
        <v>0</v>
      </c>
      <c r="E211" s="2">
        <f>IF(COUNTIF(Roster!$D211:$M211,E$1)&gt;0,$B211,0)</f>
        <v>0</v>
      </c>
      <c r="F211" s="2">
        <f>IF(COUNTIF(Roster!$D211:$M211,F$1)&gt;0,$B211,0)</f>
        <v>0</v>
      </c>
      <c r="G211" s="2">
        <f>IF(COUNTIF(Roster!$D211:$M211,G$1)&gt;0,$B211,0)</f>
        <v>0</v>
      </c>
      <c r="H211" s="2">
        <f>IF(COUNTIF(Roster!$D211:$M211,H$1)&gt;0,$B211,0)</f>
        <v>0</v>
      </c>
      <c r="I211" s="2">
        <f>IF(COUNTIF(Roster!$D211:$M211,I$1)&gt;0,$B211,0)</f>
        <v>0</v>
      </c>
      <c r="J211" s="2">
        <f>IF(COUNTIF(Roster!$D211:$M211,J$1)&gt;0,$B211,0)</f>
        <v>0</v>
      </c>
      <c r="K211" s="2">
        <f>IF(COUNTIF(Roster!$D211:$M211,K$1)&gt;0,$B211,0)</f>
        <v>0</v>
      </c>
      <c r="L211" s="2">
        <f>IF(COUNTIF(Roster!$D211:$M211,L$1)&gt;0,$B211,0)</f>
        <v>0</v>
      </c>
      <c r="M211" s="2">
        <f>IF(COUNTIF(Roster!$D211:$M211,M$1)&gt;0,$B211,0)</f>
        <v>0</v>
      </c>
      <c r="N211" s="2">
        <f>IF(COUNTIF(Roster!$D211:$M211,N$1)&gt;0,$B211,0)</f>
        <v>0</v>
      </c>
      <c r="O211" s="2">
        <f>IF(COUNTIF(Roster!$D211:$M211,O$1)&gt;0,$B211,0)</f>
        <v>0</v>
      </c>
      <c r="P211" s="2">
        <f>IF(COUNTIF(Roster!$D211:$M211,P$1)&gt;0,$B211,0)</f>
        <v>0</v>
      </c>
      <c r="Q211" s="2">
        <f>IF(COUNTIF(Roster!$D211:$M211,Q$1)&gt;0,$B211,0)</f>
        <v>0</v>
      </c>
      <c r="R211" s="2">
        <f>IF(COUNTIF(Roster!$D211:$M211,R$1)&gt;0,$B211,0)</f>
        <v>0</v>
      </c>
      <c r="S211" s="2">
        <f>IF(COUNTIF(Roster!$D211:$M211,S$1)&gt;0,$B211,0)</f>
        <v>0</v>
      </c>
      <c r="T211" s="2">
        <f>IF(COUNTIF(Roster!$D211:$M211,T$1)&gt;0,$B211,0)</f>
        <v>0</v>
      </c>
      <c r="U211" s="2">
        <f>IF(COUNTIF(Roster!$D211:$M211,U$1)&gt;0,$B211,0)</f>
        <v>0</v>
      </c>
      <c r="V211" s="2">
        <f>IF(COUNTIF(Roster!$D211:$M211,V$1)&gt;0,$B211,0)</f>
        <v>0</v>
      </c>
      <c r="W211" s="2">
        <f>IF(COUNTIF(Roster!$D211:$M211,W$1)&gt;0,$B211,0)</f>
        <v>0</v>
      </c>
      <c r="X211" s="2">
        <f t="shared" si="3"/>
        <v>0</v>
      </c>
    </row>
    <row r="212" spans="1:24" ht="15" customHeight="1" x14ac:dyDescent="0.3">
      <c r="A212" s="2">
        <f>Roster!A212</f>
        <v>211</v>
      </c>
      <c r="B212" s="2">
        <f>Roster!C212</f>
        <v>0</v>
      </c>
      <c r="C212" s="2">
        <f>IF(COUNTIF(Roster!$D212:$M212,C$1)&gt;0,$B212,0)</f>
        <v>0</v>
      </c>
      <c r="D212" s="2">
        <f>IF(COUNTIF(Roster!$D212:$M212,D$1)&gt;0,$B212,0)</f>
        <v>0</v>
      </c>
      <c r="E212" s="2">
        <f>IF(COUNTIF(Roster!$D212:$M212,E$1)&gt;0,$B212,0)</f>
        <v>0</v>
      </c>
      <c r="F212" s="2">
        <f>IF(COUNTIF(Roster!$D212:$M212,F$1)&gt;0,$B212,0)</f>
        <v>0</v>
      </c>
      <c r="G212" s="2">
        <f>IF(COUNTIF(Roster!$D212:$M212,G$1)&gt;0,$B212,0)</f>
        <v>0</v>
      </c>
      <c r="H212" s="2">
        <f>IF(COUNTIF(Roster!$D212:$M212,H$1)&gt;0,$B212,0)</f>
        <v>0</v>
      </c>
      <c r="I212" s="2">
        <f>IF(COUNTIF(Roster!$D212:$M212,I$1)&gt;0,$B212,0)</f>
        <v>0</v>
      </c>
      <c r="J212" s="2">
        <f>IF(COUNTIF(Roster!$D212:$M212,J$1)&gt;0,$B212,0)</f>
        <v>0</v>
      </c>
      <c r="K212" s="2">
        <f>IF(COUNTIF(Roster!$D212:$M212,K$1)&gt;0,$B212,0)</f>
        <v>0</v>
      </c>
      <c r="L212" s="2">
        <f>IF(COUNTIF(Roster!$D212:$M212,L$1)&gt;0,$B212,0)</f>
        <v>0</v>
      </c>
      <c r="M212" s="2">
        <f>IF(COUNTIF(Roster!$D212:$M212,M$1)&gt;0,$B212,0)</f>
        <v>0</v>
      </c>
      <c r="N212" s="2">
        <f>IF(COUNTIF(Roster!$D212:$M212,N$1)&gt;0,$B212,0)</f>
        <v>0</v>
      </c>
      <c r="O212" s="2">
        <f>IF(COUNTIF(Roster!$D212:$M212,O$1)&gt;0,$B212,0)</f>
        <v>0</v>
      </c>
      <c r="P212" s="2">
        <f>IF(COUNTIF(Roster!$D212:$M212,P$1)&gt;0,$B212,0)</f>
        <v>0</v>
      </c>
      <c r="Q212" s="2">
        <f>IF(COUNTIF(Roster!$D212:$M212,Q$1)&gt;0,$B212,0)</f>
        <v>0</v>
      </c>
      <c r="R212" s="2">
        <f>IF(COUNTIF(Roster!$D212:$M212,R$1)&gt;0,$B212,0)</f>
        <v>0</v>
      </c>
      <c r="S212" s="2">
        <f>IF(COUNTIF(Roster!$D212:$M212,S$1)&gt;0,$B212,0)</f>
        <v>0</v>
      </c>
      <c r="T212" s="2">
        <f>IF(COUNTIF(Roster!$D212:$M212,T$1)&gt;0,$B212,0)</f>
        <v>0</v>
      </c>
      <c r="U212" s="2">
        <f>IF(COUNTIF(Roster!$D212:$M212,U$1)&gt;0,$B212,0)</f>
        <v>0</v>
      </c>
      <c r="V212" s="2">
        <f>IF(COUNTIF(Roster!$D212:$M212,V$1)&gt;0,$B212,0)</f>
        <v>0</v>
      </c>
      <c r="W212" s="2">
        <f>IF(COUNTIF(Roster!$D212:$M212,W$1)&gt;0,$B212,0)</f>
        <v>0</v>
      </c>
      <c r="X212" s="2">
        <f t="shared" si="3"/>
        <v>0</v>
      </c>
    </row>
    <row r="213" spans="1:24" ht="15" customHeight="1" x14ac:dyDescent="0.3">
      <c r="A213" s="2">
        <f>Roster!A213</f>
        <v>212</v>
      </c>
      <c r="B213" s="2">
        <f>Roster!C213</f>
        <v>0</v>
      </c>
      <c r="C213" s="2">
        <f>IF(COUNTIF(Roster!$D213:$M213,C$1)&gt;0,$B213,0)</f>
        <v>0</v>
      </c>
      <c r="D213" s="2">
        <f>IF(COUNTIF(Roster!$D213:$M213,D$1)&gt;0,$B213,0)</f>
        <v>0</v>
      </c>
      <c r="E213" s="2">
        <f>IF(COUNTIF(Roster!$D213:$M213,E$1)&gt;0,$B213,0)</f>
        <v>0</v>
      </c>
      <c r="F213" s="2">
        <f>IF(COUNTIF(Roster!$D213:$M213,F$1)&gt;0,$B213,0)</f>
        <v>0</v>
      </c>
      <c r="G213" s="2">
        <f>IF(COUNTIF(Roster!$D213:$M213,G$1)&gt;0,$B213,0)</f>
        <v>0</v>
      </c>
      <c r="H213" s="2">
        <f>IF(COUNTIF(Roster!$D213:$M213,H$1)&gt;0,$B213,0)</f>
        <v>0</v>
      </c>
      <c r="I213" s="2">
        <f>IF(COUNTIF(Roster!$D213:$M213,I$1)&gt;0,$B213,0)</f>
        <v>0</v>
      </c>
      <c r="J213" s="2">
        <f>IF(COUNTIF(Roster!$D213:$M213,J$1)&gt;0,$B213,0)</f>
        <v>0</v>
      </c>
      <c r="K213" s="2">
        <f>IF(COUNTIF(Roster!$D213:$M213,K$1)&gt;0,$B213,0)</f>
        <v>0</v>
      </c>
      <c r="L213" s="2">
        <f>IF(COUNTIF(Roster!$D213:$M213,L$1)&gt;0,$B213,0)</f>
        <v>0</v>
      </c>
      <c r="M213" s="2">
        <f>IF(COUNTIF(Roster!$D213:$M213,M$1)&gt;0,$B213,0)</f>
        <v>0</v>
      </c>
      <c r="N213" s="2">
        <f>IF(COUNTIF(Roster!$D213:$M213,N$1)&gt;0,$B213,0)</f>
        <v>0</v>
      </c>
      <c r="O213" s="2">
        <f>IF(COUNTIF(Roster!$D213:$M213,O$1)&gt;0,$B213,0)</f>
        <v>0</v>
      </c>
      <c r="P213" s="2">
        <f>IF(COUNTIF(Roster!$D213:$M213,P$1)&gt;0,$B213,0)</f>
        <v>0</v>
      </c>
      <c r="Q213" s="2">
        <f>IF(COUNTIF(Roster!$D213:$M213,Q$1)&gt;0,$B213,0)</f>
        <v>0</v>
      </c>
      <c r="R213" s="2">
        <f>IF(COUNTIF(Roster!$D213:$M213,R$1)&gt;0,$B213,0)</f>
        <v>0</v>
      </c>
      <c r="S213" s="2">
        <f>IF(COUNTIF(Roster!$D213:$M213,S$1)&gt;0,$B213,0)</f>
        <v>0</v>
      </c>
      <c r="T213" s="2">
        <f>IF(COUNTIF(Roster!$D213:$M213,T$1)&gt;0,$B213,0)</f>
        <v>0</v>
      </c>
      <c r="U213" s="2">
        <f>IF(COUNTIF(Roster!$D213:$M213,U$1)&gt;0,$B213,0)</f>
        <v>0</v>
      </c>
      <c r="V213" s="2">
        <f>IF(COUNTIF(Roster!$D213:$M213,V$1)&gt;0,$B213,0)</f>
        <v>0</v>
      </c>
      <c r="W213" s="2">
        <f>IF(COUNTIF(Roster!$D213:$M213,W$1)&gt;0,$B213,0)</f>
        <v>0</v>
      </c>
      <c r="X213" s="2">
        <f t="shared" si="3"/>
        <v>0</v>
      </c>
    </row>
    <row r="214" spans="1:24" ht="15" customHeight="1" x14ac:dyDescent="0.3">
      <c r="A214" s="2">
        <f>Roster!A214</f>
        <v>213</v>
      </c>
      <c r="B214" s="2">
        <f>Roster!C214</f>
        <v>0</v>
      </c>
      <c r="C214" s="2">
        <f>IF(COUNTIF(Roster!$D214:$M214,C$1)&gt;0,$B214,0)</f>
        <v>0</v>
      </c>
      <c r="D214" s="2">
        <f>IF(COUNTIF(Roster!$D214:$M214,D$1)&gt;0,$B214,0)</f>
        <v>0</v>
      </c>
      <c r="E214" s="2">
        <f>IF(COUNTIF(Roster!$D214:$M214,E$1)&gt;0,$B214,0)</f>
        <v>0</v>
      </c>
      <c r="F214" s="2">
        <f>IF(COUNTIF(Roster!$D214:$M214,F$1)&gt;0,$B214,0)</f>
        <v>0</v>
      </c>
      <c r="G214" s="2">
        <f>IF(COUNTIF(Roster!$D214:$M214,G$1)&gt;0,$B214,0)</f>
        <v>0</v>
      </c>
      <c r="H214" s="2">
        <f>IF(COUNTIF(Roster!$D214:$M214,H$1)&gt;0,$B214,0)</f>
        <v>0</v>
      </c>
      <c r="I214" s="2">
        <f>IF(COUNTIF(Roster!$D214:$M214,I$1)&gt;0,$B214,0)</f>
        <v>0</v>
      </c>
      <c r="J214" s="2">
        <f>IF(COUNTIF(Roster!$D214:$M214,J$1)&gt;0,$B214,0)</f>
        <v>0</v>
      </c>
      <c r="K214" s="2">
        <f>IF(COUNTIF(Roster!$D214:$M214,K$1)&gt;0,$B214,0)</f>
        <v>0</v>
      </c>
      <c r="L214" s="2">
        <f>IF(COUNTIF(Roster!$D214:$M214,L$1)&gt;0,$B214,0)</f>
        <v>0</v>
      </c>
      <c r="M214" s="2">
        <f>IF(COUNTIF(Roster!$D214:$M214,M$1)&gt;0,$B214,0)</f>
        <v>0</v>
      </c>
      <c r="N214" s="2">
        <f>IF(COUNTIF(Roster!$D214:$M214,N$1)&gt;0,$B214,0)</f>
        <v>0</v>
      </c>
      <c r="O214" s="2">
        <f>IF(COUNTIF(Roster!$D214:$M214,O$1)&gt;0,$B214,0)</f>
        <v>0</v>
      </c>
      <c r="P214" s="2">
        <f>IF(COUNTIF(Roster!$D214:$M214,P$1)&gt;0,$B214,0)</f>
        <v>0</v>
      </c>
      <c r="Q214" s="2">
        <f>IF(COUNTIF(Roster!$D214:$M214,Q$1)&gt;0,$B214,0)</f>
        <v>0</v>
      </c>
      <c r="R214" s="2">
        <f>IF(COUNTIF(Roster!$D214:$M214,R$1)&gt;0,$B214,0)</f>
        <v>0</v>
      </c>
      <c r="S214" s="2">
        <f>IF(COUNTIF(Roster!$D214:$M214,S$1)&gt;0,$B214,0)</f>
        <v>0</v>
      </c>
      <c r="T214" s="2">
        <f>IF(COUNTIF(Roster!$D214:$M214,T$1)&gt;0,$B214,0)</f>
        <v>0</v>
      </c>
      <c r="U214" s="2">
        <f>IF(COUNTIF(Roster!$D214:$M214,U$1)&gt;0,$B214,0)</f>
        <v>0</v>
      </c>
      <c r="V214" s="2">
        <f>IF(COUNTIF(Roster!$D214:$M214,V$1)&gt;0,$B214,0)</f>
        <v>0</v>
      </c>
      <c r="W214" s="2">
        <f>IF(COUNTIF(Roster!$D214:$M214,W$1)&gt;0,$B214,0)</f>
        <v>0</v>
      </c>
      <c r="X214" s="2">
        <f t="shared" si="3"/>
        <v>0</v>
      </c>
    </row>
    <row r="215" spans="1:24" ht="15" customHeight="1" x14ac:dyDescent="0.3">
      <c r="A215" s="2">
        <f>Roster!A215</f>
        <v>214</v>
      </c>
      <c r="B215" s="2">
        <f>Roster!C215</f>
        <v>0</v>
      </c>
      <c r="C215" s="2">
        <f>IF(COUNTIF(Roster!$D215:$M215,C$1)&gt;0,$B215,0)</f>
        <v>0</v>
      </c>
      <c r="D215" s="2">
        <f>IF(COUNTIF(Roster!$D215:$M215,D$1)&gt;0,$B215,0)</f>
        <v>0</v>
      </c>
      <c r="E215" s="2">
        <f>IF(COUNTIF(Roster!$D215:$M215,E$1)&gt;0,$B215,0)</f>
        <v>0</v>
      </c>
      <c r="F215" s="2">
        <f>IF(COUNTIF(Roster!$D215:$M215,F$1)&gt;0,$B215,0)</f>
        <v>0</v>
      </c>
      <c r="G215" s="2">
        <f>IF(COUNTIF(Roster!$D215:$M215,G$1)&gt;0,$B215,0)</f>
        <v>0</v>
      </c>
      <c r="H215" s="2">
        <f>IF(COUNTIF(Roster!$D215:$M215,H$1)&gt;0,$B215,0)</f>
        <v>0</v>
      </c>
      <c r="I215" s="2">
        <f>IF(COUNTIF(Roster!$D215:$M215,I$1)&gt;0,$B215,0)</f>
        <v>0</v>
      </c>
      <c r="J215" s="2">
        <f>IF(COUNTIF(Roster!$D215:$M215,J$1)&gt;0,$B215,0)</f>
        <v>0</v>
      </c>
      <c r="K215" s="2">
        <f>IF(COUNTIF(Roster!$D215:$M215,K$1)&gt;0,$B215,0)</f>
        <v>0</v>
      </c>
      <c r="L215" s="2">
        <f>IF(COUNTIF(Roster!$D215:$M215,L$1)&gt;0,$B215,0)</f>
        <v>0</v>
      </c>
      <c r="M215" s="2">
        <f>IF(COUNTIF(Roster!$D215:$M215,M$1)&gt;0,$B215,0)</f>
        <v>0</v>
      </c>
      <c r="N215" s="2">
        <f>IF(COUNTIF(Roster!$D215:$M215,N$1)&gt;0,$B215,0)</f>
        <v>0</v>
      </c>
      <c r="O215" s="2">
        <f>IF(COUNTIF(Roster!$D215:$M215,O$1)&gt;0,$B215,0)</f>
        <v>0</v>
      </c>
      <c r="P215" s="2">
        <f>IF(COUNTIF(Roster!$D215:$M215,P$1)&gt;0,$B215,0)</f>
        <v>0</v>
      </c>
      <c r="Q215" s="2">
        <f>IF(COUNTIF(Roster!$D215:$M215,Q$1)&gt;0,$B215,0)</f>
        <v>0</v>
      </c>
      <c r="R215" s="2">
        <f>IF(COUNTIF(Roster!$D215:$M215,R$1)&gt;0,$B215,0)</f>
        <v>0</v>
      </c>
      <c r="S215" s="2">
        <f>IF(COUNTIF(Roster!$D215:$M215,S$1)&gt;0,$B215,0)</f>
        <v>0</v>
      </c>
      <c r="T215" s="2">
        <f>IF(COUNTIF(Roster!$D215:$M215,T$1)&gt;0,$B215,0)</f>
        <v>0</v>
      </c>
      <c r="U215" s="2">
        <f>IF(COUNTIF(Roster!$D215:$M215,U$1)&gt;0,$B215,0)</f>
        <v>0</v>
      </c>
      <c r="V215" s="2">
        <f>IF(COUNTIF(Roster!$D215:$M215,V$1)&gt;0,$B215,0)</f>
        <v>0</v>
      </c>
      <c r="W215" s="2">
        <f>IF(COUNTIF(Roster!$D215:$M215,W$1)&gt;0,$B215,0)</f>
        <v>0</v>
      </c>
      <c r="X215" s="2">
        <f t="shared" si="3"/>
        <v>0</v>
      </c>
    </row>
    <row r="216" spans="1:24" ht="15" customHeight="1" x14ac:dyDescent="0.3">
      <c r="A216" s="2">
        <f>Roster!A216</f>
        <v>215</v>
      </c>
      <c r="B216" s="2">
        <f>Roster!C216</f>
        <v>0</v>
      </c>
      <c r="C216" s="2">
        <f>IF(COUNTIF(Roster!$D216:$M216,C$1)&gt;0,$B216,0)</f>
        <v>0</v>
      </c>
      <c r="D216" s="2">
        <f>IF(COUNTIF(Roster!$D216:$M216,D$1)&gt;0,$B216,0)</f>
        <v>0</v>
      </c>
      <c r="E216" s="2">
        <f>IF(COUNTIF(Roster!$D216:$M216,E$1)&gt;0,$B216,0)</f>
        <v>0</v>
      </c>
      <c r="F216" s="2">
        <f>IF(COUNTIF(Roster!$D216:$M216,F$1)&gt;0,$B216,0)</f>
        <v>0</v>
      </c>
      <c r="G216" s="2">
        <f>IF(COUNTIF(Roster!$D216:$M216,G$1)&gt;0,$B216,0)</f>
        <v>0</v>
      </c>
      <c r="H216" s="2">
        <f>IF(COUNTIF(Roster!$D216:$M216,H$1)&gt;0,$B216,0)</f>
        <v>0</v>
      </c>
      <c r="I216" s="2">
        <f>IF(COUNTIF(Roster!$D216:$M216,I$1)&gt;0,$B216,0)</f>
        <v>0</v>
      </c>
      <c r="J216" s="2">
        <f>IF(COUNTIF(Roster!$D216:$M216,J$1)&gt;0,$B216,0)</f>
        <v>0</v>
      </c>
      <c r="K216" s="2">
        <f>IF(COUNTIF(Roster!$D216:$M216,K$1)&gt;0,$B216,0)</f>
        <v>0</v>
      </c>
      <c r="L216" s="2">
        <f>IF(COUNTIF(Roster!$D216:$M216,L$1)&gt;0,$B216,0)</f>
        <v>0</v>
      </c>
      <c r="M216" s="2">
        <f>IF(COUNTIF(Roster!$D216:$M216,M$1)&gt;0,$B216,0)</f>
        <v>0</v>
      </c>
      <c r="N216" s="2">
        <f>IF(COUNTIF(Roster!$D216:$M216,N$1)&gt;0,$B216,0)</f>
        <v>0</v>
      </c>
      <c r="O216" s="2">
        <f>IF(COUNTIF(Roster!$D216:$M216,O$1)&gt;0,$B216,0)</f>
        <v>0</v>
      </c>
      <c r="P216" s="2">
        <f>IF(COUNTIF(Roster!$D216:$M216,P$1)&gt;0,$B216,0)</f>
        <v>0</v>
      </c>
      <c r="Q216" s="2">
        <f>IF(COUNTIF(Roster!$D216:$M216,Q$1)&gt;0,$B216,0)</f>
        <v>0</v>
      </c>
      <c r="R216" s="2">
        <f>IF(COUNTIF(Roster!$D216:$M216,R$1)&gt;0,$B216,0)</f>
        <v>0</v>
      </c>
      <c r="S216" s="2">
        <f>IF(COUNTIF(Roster!$D216:$M216,S$1)&gt;0,$B216,0)</f>
        <v>0</v>
      </c>
      <c r="T216" s="2">
        <f>IF(COUNTIF(Roster!$D216:$M216,T$1)&gt;0,$B216,0)</f>
        <v>0</v>
      </c>
      <c r="U216" s="2">
        <f>IF(COUNTIF(Roster!$D216:$M216,U$1)&gt;0,$B216,0)</f>
        <v>0</v>
      </c>
      <c r="V216" s="2">
        <f>IF(COUNTIF(Roster!$D216:$M216,V$1)&gt;0,$B216,0)</f>
        <v>0</v>
      </c>
      <c r="W216" s="2">
        <f>IF(COUNTIF(Roster!$D216:$M216,W$1)&gt;0,$B216,0)</f>
        <v>0</v>
      </c>
      <c r="X216" s="2">
        <f t="shared" si="3"/>
        <v>0</v>
      </c>
    </row>
    <row r="217" spans="1:24" ht="15" customHeight="1" x14ac:dyDescent="0.3">
      <c r="A217" s="2">
        <f>Roster!A217</f>
        <v>216</v>
      </c>
      <c r="B217" s="2">
        <f>Roster!C217</f>
        <v>0</v>
      </c>
      <c r="C217" s="2">
        <f>IF(COUNTIF(Roster!$D217:$M217,C$1)&gt;0,$B217,0)</f>
        <v>0</v>
      </c>
      <c r="D217" s="2">
        <f>IF(COUNTIF(Roster!$D217:$M217,D$1)&gt;0,$B217,0)</f>
        <v>0</v>
      </c>
      <c r="E217" s="2">
        <f>IF(COUNTIF(Roster!$D217:$M217,E$1)&gt;0,$B217,0)</f>
        <v>0</v>
      </c>
      <c r="F217" s="2">
        <f>IF(COUNTIF(Roster!$D217:$M217,F$1)&gt;0,$B217,0)</f>
        <v>0</v>
      </c>
      <c r="G217" s="2">
        <f>IF(COUNTIF(Roster!$D217:$M217,G$1)&gt;0,$B217,0)</f>
        <v>0</v>
      </c>
      <c r="H217" s="2">
        <f>IF(COUNTIF(Roster!$D217:$M217,H$1)&gt;0,$B217,0)</f>
        <v>0</v>
      </c>
      <c r="I217" s="2">
        <f>IF(COUNTIF(Roster!$D217:$M217,I$1)&gt;0,$B217,0)</f>
        <v>0</v>
      </c>
      <c r="J217" s="2">
        <f>IF(COUNTIF(Roster!$D217:$M217,J$1)&gt;0,$B217,0)</f>
        <v>0</v>
      </c>
      <c r="K217" s="2">
        <f>IF(COUNTIF(Roster!$D217:$M217,K$1)&gt;0,$B217,0)</f>
        <v>0</v>
      </c>
      <c r="L217" s="2">
        <f>IF(COUNTIF(Roster!$D217:$M217,L$1)&gt;0,$B217,0)</f>
        <v>0</v>
      </c>
      <c r="M217" s="2">
        <f>IF(COUNTIF(Roster!$D217:$M217,M$1)&gt;0,$B217,0)</f>
        <v>0</v>
      </c>
      <c r="N217" s="2">
        <f>IF(COUNTIF(Roster!$D217:$M217,N$1)&gt;0,$B217,0)</f>
        <v>0</v>
      </c>
      <c r="O217" s="2">
        <f>IF(COUNTIF(Roster!$D217:$M217,O$1)&gt;0,$B217,0)</f>
        <v>0</v>
      </c>
      <c r="P217" s="2">
        <f>IF(COUNTIF(Roster!$D217:$M217,P$1)&gt;0,$B217,0)</f>
        <v>0</v>
      </c>
      <c r="Q217" s="2">
        <f>IF(COUNTIF(Roster!$D217:$M217,Q$1)&gt;0,$B217,0)</f>
        <v>0</v>
      </c>
      <c r="R217" s="2">
        <f>IF(COUNTIF(Roster!$D217:$M217,R$1)&gt;0,$B217,0)</f>
        <v>0</v>
      </c>
      <c r="S217" s="2">
        <f>IF(COUNTIF(Roster!$D217:$M217,S$1)&gt;0,$B217,0)</f>
        <v>0</v>
      </c>
      <c r="T217" s="2">
        <f>IF(COUNTIF(Roster!$D217:$M217,T$1)&gt;0,$B217,0)</f>
        <v>0</v>
      </c>
      <c r="U217" s="2">
        <f>IF(COUNTIF(Roster!$D217:$M217,U$1)&gt;0,$B217,0)</f>
        <v>0</v>
      </c>
      <c r="V217" s="2">
        <f>IF(COUNTIF(Roster!$D217:$M217,V$1)&gt;0,$B217,0)</f>
        <v>0</v>
      </c>
      <c r="W217" s="2">
        <f>IF(COUNTIF(Roster!$D217:$M217,W$1)&gt;0,$B217,0)</f>
        <v>0</v>
      </c>
      <c r="X217" s="2">
        <f t="shared" si="3"/>
        <v>0</v>
      </c>
    </row>
    <row r="218" spans="1:24" ht="15" customHeight="1" x14ac:dyDescent="0.3">
      <c r="A218" s="2">
        <f>Roster!A218</f>
        <v>217</v>
      </c>
      <c r="B218" s="2">
        <f>Roster!C218</f>
        <v>0</v>
      </c>
      <c r="C218" s="2">
        <f>IF(COUNTIF(Roster!$D218:$M218,C$1)&gt;0,$B218,0)</f>
        <v>0</v>
      </c>
      <c r="D218" s="2">
        <f>IF(COUNTIF(Roster!$D218:$M218,D$1)&gt;0,$B218,0)</f>
        <v>0</v>
      </c>
      <c r="E218" s="2">
        <f>IF(COUNTIF(Roster!$D218:$M218,E$1)&gt;0,$B218,0)</f>
        <v>0</v>
      </c>
      <c r="F218" s="2">
        <f>IF(COUNTIF(Roster!$D218:$M218,F$1)&gt;0,$B218,0)</f>
        <v>0</v>
      </c>
      <c r="G218" s="2">
        <f>IF(COUNTIF(Roster!$D218:$M218,G$1)&gt;0,$B218,0)</f>
        <v>0</v>
      </c>
      <c r="H218" s="2">
        <f>IF(COUNTIF(Roster!$D218:$M218,H$1)&gt;0,$B218,0)</f>
        <v>0</v>
      </c>
      <c r="I218" s="2">
        <f>IF(COUNTIF(Roster!$D218:$M218,I$1)&gt;0,$B218,0)</f>
        <v>0</v>
      </c>
      <c r="J218" s="2">
        <f>IF(COUNTIF(Roster!$D218:$M218,J$1)&gt;0,$B218,0)</f>
        <v>0</v>
      </c>
      <c r="K218" s="2">
        <f>IF(COUNTIF(Roster!$D218:$M218,K$1)&gt;0,$B218,0)</f>
        <v>0</v>
      </c>
      <c r="L218" s="2">
        <f>IF(COUNTIF(Roster!$D218:$M218,L$1)&gt;0,$B218,0)</f>
        <v>0</v>
      </c>
      <c r="M218" s="2">
        <f>IF(COUNTIF(Roster!$D218:$M218,M$1)&gt;0,$B218,0)</f>
        <v>0</v>
      </c>
      <c r="N218" s="2">
        <f>IF(COUNTIF(Roster!$D218:$M218,N$1)&gt;0,$B218,0)</f>
        <v>0</v>
      </c>
      <c r="O218" s="2">
        <f>IF(COUNTIF(Roster!$D218:$M218,O$1)&gt;0,$B218,0)</f>
        <v>0</v>
      </c>
      <c r="P218" s="2">
        <f>IF(COUNTIF(Roster!$D218:$M218,P$1)&gt;0,$B218,0)</f>
        <v>0</v>
      </c>
      <c r="Q218" s="2">
        <f>IF(COUNTIF(Roster!$D218:$M218,Q$1)&gt;0,$B218,0)</f>
        <v>0</v>
      </c>
      <c r="R218" s="2">
        <f>IF(COUNTIF(Roster!$D218:$M218,R$1)&gt;0,$B218,0)</f>
        <v>0</v>
      </c>
      <c r="S218" s="2">
        <f>IF(COUNTIF(Roster!$D218:$M218,S$1)&gt;0,$B218,0)</f>
        <v>0</v>
      </c>
      <c r="T218" s="2">
        <f>IF(COUNTIF(Roster!$D218:$M218,T$1)&gt;0,$B218,0)</f>
        <v>0</v>
      </c>
      <c r="U218" s="2">
        <f>IF(COUNTIF(Roster!$D218:$M218,U$1)&gt;0,$B218,0)</f>
        <v>0</v>
      </c>
      <c r="V218" s="2">
        <f>IF(COUNTIF(Roster!$D218:$M218,V$1)&gt;0,$B218,0)</f>
        <v>0</v>
      </c>
      <c r="W218" s="2">
        <f>IF(COUNTIF(Roster!$D218:$M218,W$1)&gt;0,$B218,0)</f>
        <v>0</v>
      </c>
      <c r="X218" s="2">
        <f t="shared" si="3"/>
        <v>0</v>
      </c>
    </row>
    <row r="219" spans="1:24" ht="15" customHeight="1" x14ac:dyDescent="0.3">
      <c r="A219" s="2">
        <f>Roster!A219</f>
        <v>218</v>
      </c>
      <c r="B219" s="2">
        <f>Roster!C219</f>
        <v>0</v>
      </c>
      <c r="C219" s="2">
        <f>IF(COUNTIF(Roster!$D219:$M219,C$1)&gt;0,$B219,0)</f>
        <v>0</v>
      </c>
      <c r="D219" s="2">
        <f>IF(COUNTIF(Roster!$D219:$M219,D$1)&gt;0,$B219,0)</f>
        <v>0</v>
      </c>
      <c r="E219" s="2">
        <f>IF(COUNTIF(Roster!$D219:$M219,E$1)&gt;0,$B219,0)</f>
        <v>0</v>
      </c>
      <c r="F219" s="2">
        <f>IF(COUNTIF(Roster!$D219:$M219,F$1)&gt;0,$B219,0)</f>
        <v>0</v>
      </c>
      <c r="G219" s="2">
        <f>IF(COUNTIF(Roster!$D219:$M219,G$1)&gt;0,$B219,0)</f>
        <v>0</v>
      </c>
      <c r="H219" s="2">
        <f>IF(COUNTIF(Roster!$D219:$M219,H$1)&gt;0,$B219,0)</f>
        <v>0</v>
      </c>
      <c r="I219" s="2">
        <f>IF(COUNTIF(Roster!$D219:$M219,I$1)&gt;0,$B219,0)</f>
        <v>0</v>
      </c>
      <c r="J219" s="2">
        <f>IF(COUNTIF(Roster!$D219:$M219,J$1)&gt;0,$B219,0)</f>
        <v>0</v>
      </c>
      <c r="K219" s="2">
        <f>IF(COUNTIF(Roster!$D219:$M219,K$1)&gt;0,$B219,0)</f>
        <v>0</v>
      </c>
      <c r="L219" s="2">
        <f>IF(COUNTIF(Roster!$D219:$M219,L$1)&gt;0,$B219,0)</f>
        <v>0</v>
      </c>
      <c r="M219" s="2">
        <f>IF(COUNTIF(Roster!$D219:$M219,M$1)&gt;0,$B219,0)</f>
        <v>0</v>
      </c>
      <c r="N219" s="2">
        <f>IF(COUNTIF(Roster!$D219:$M219,N$1)&gt;0,$B219,0)</f>
        <v>0</v>
      </c>
      <c r="O219" s="2">
        <f>IF(COUNTIF(Roster!$D219:$M219,O$1)&gt;0,$B219,0)</f>
        <v>0</v>
      </c>
      <c r="P219" s="2">
        <f>IF(COUNTIF(Roster!$D219:$M219,P$1)&gt;0,$B219,0)</f>
        <v>0</v>
      </c>
      <c r="Q219" s="2">
        <f>IF(COUNTIF(Roster!$D219:$M219,Q$1)&gt;0,$B219,0)</f>
        <v>0</v>
      </c>
      <c r="R219" s="2">
        <f>IF(COUNTIF(Roster!$D219:$M219,R$1)&gt;0,$B219,0)</f>
        <v>0</v>
      </c>
      <c r="S219" s="2">
        <f>IF(COUNTIF(Roster!$D219:$M219,S$1)&gt;0,$B219,0)</f>
        <v>0</v>
      </c>
      <c r="T219" s="2">
        <f>IF(COUNTIF(Roster!$D219:$M219,T$1)&gt;0,$B219,0)</f>
        <v>0</v>
      </c>
      <c r="U219" s="2">
        <f>IF(COUNTIF(Roster!$D219:$M219,U$1)&gt;0,$B219,0)</f>
        <v>0</v>
      </c>
      <c r="V219" s="2">
        <f>IF(COUNTIF(Roster!$D219:$M219,V$1)&gt;0,$B219,0)</f>
        <v>0</v>
      </c>
      <c r="W219" s="2">
        <f>IF(COUNTIF(Roster!$D219:$M219,W$1)&gt;0,$B219,0)</f>
        <v>0</v>
      </c>
      <c r="X219" s="2">
        <f t="shared" si="3"/>
        <v>0</v>
      </c>
    </row>
    <row r="220" spans="1:24" ht="15" customHeight="1" x14ac:dyDescent="0.3">
      <c r="A220" s="2">
        <f>Roster!A220</f>
        <v>219</v>
      </c>
      <c r="B220" s="2">
        <f>Roster!C220</f>
        <v>0</v>
      </c>
      <c r="C220" s="2">
        <f>IF(COUNTIF(Roster!$D220:$M220,C$1)&gt;0,$B220,0)</f>
        <v>0</v>
      </c>
      <c r="D220" s="2">
        <f>IF(COUNTIF(Roster!$D220:$M220,D$1)&gt;0,$B220,0)</f>
        <v>0</v>
      </c>
      <c r="E220" s="2">
        <f>IF(COUNTIF(Roster!$D220:$M220,E$1)&gt;0,$B220,0)</f>
        <v>0</v>
      </c>
      <c r="F220" s="2">
        <f>IF(COUNTIF(Roster!$D220:$M220,F$1)&gt;0,$B220,0)</f>
        <v>0</v>
      </c>
      <c r="G220" s="2">
        <f>IF(COUNTIF(Roster!$D220:$M220,G$1)&gt;0,$B220,0)</f>
        <v>0</v>
      </c>
      <c r="H220" s="2">
        <f>IF(COUNTIF(Roster!$D220:$M220,H$1)&gt;0,$B220,0)</f>
        <v>0</v>
      </c>
      <c r="I220" s="2">
        <f>IF(COUNTIF(Roster!$D220:$M220,I$1)&gt;0,$B220,0)</f>
        <v>0</v>
      </c>
      <c r="J220" s="2">
        <f>IF(COUNTIF(Roster!$D220:$M220,J$1)&gt;0,$B220,0)</f>
        <v>0</v>
      </c>
      <c r="K220" s="2">
        <f>IF(COUNTIF(Roster!$D220:$M220,K$1)&gt;0,$B220,0)</f>
        <v>0</v>
      </c>
      <c r="L220" s="2">
        <f>IF(COUNTIF(Roster!$D220:$M220,L$1)&gt;0,$B220,0)</f>
        <v>0</v>
      </c>
      <c r="M220" s="2">
        <f>IF(COUNTIF(Roster!$D220:$M220,M$1)&gt;0,$B220,0)</f>
        <v>0</v>
      </c>
      <c r="N220" s="2">
        <f>IF(COUNTIF(Roster!$D220:$M220,N$1)&gt;0,$B220,0)</f>
        <v>0</v>
      </c>
      <c r="O220" s="2">
        <f>IF(COUNTIF(Roster!$D220:$M220,O$1)&gt;0,$B220,0)</f>
        <v>0</v>
      </c>
      <c r="P220" s="2">
        <f>IF(COUNTIF(Roster!$D220:$M220,P$1)&gt;0,$B220,0)</f>
        <v>0</v>
      </c>
      <c r="Q220" s="2">
        <f>IF(COUNTIF(Roster!$D220:$M220,Q$1)&gt;0,$B220,0)</f>
        <v>0</v>
      </c>
      <c r="R220" s="2">
        <f>IF(COUNTIF(Roster!$D220:$M220,R$1)&gt;0,$B220,0)</f>
        <v>0</v>
      </c>
      <c r="S220" s="2">
        <f>IF(COUNTIF(Roster!$D220:$M220,S$1)&gt;0,$B220,0)</f>
        <v>0</v>
      </c>
      <c r="T220" s="2">
        <f>IF(COUNTIF(Roster!$D220:$M220,T$1)&gt;0,$B220,0)</f>
        <v>0</v>
      </c>
      <c r="U220" s="2">
        <f>IF(COUNTIF(Roster!$D220:$M220,U$1)&gt;0,$B220,0)</f>
        <v>0</v>
      </c>
      <c r="V220" s="2">
        <f>IF(COUNTIF(Roster!$D220:$M220,V$1)&gt;0,$B220,0)</f>
        <v>0</v>
      </c>
      <c r="W220" s="2">
        <f>IF(COUNTIF(Roster!$D220:$M220,W$1)&gt;0,$B220,0)</f>
        <v>0</v>
      </c>
      <c r="X220" s="2">
        <f t="shared" si="3"/>
        <v>0</v>
      </c>
    </row>
    <row r="221" spans="1:24" ht="15" customHeight="1" x14ac:dyDescent="0.3">
      <c r="A221" s="2">
        <f>Roster!A221</f>
        <v>220</v>
      </c>
      <c r="B221" s="2">
        <f>Roster!C221</f>
        <v>0</v>
      </c>
      <c r="C221" s="2">
        <f>IF(COUNTIF(Roster!$D221:$M221,C$1)&gt;0,$B221,0)</f>
        <v>0</v>
      </c>
      <c r="D221" s="2">
        <f>IF(COUNTIF(Roster!$D221:$M221,D$1)&gt;0,$B221,0)</f>
        <v>0</v>
      </c>
      <c r="E221" s="2">
        <f>IF(COUNTIF(Roster!$D221:$M221,E$1)&gt;0,$B221,0)</f>
        <v>0</v>
      </c>
      <c r="F221" s="2">
        <f>IF(COUNTIF(Roster!$D221:$M221,F$1)&gt;0,$B221,0)</f>
        <v>0</v>
      </c>
      <c r="G221" s="2">
        <f>IF(COUNTIF(Roster!$D221:$M221,G$1)&gt;0,$B221,0)</f>
        <v>0</v>
      </c>
      <c r="H221" s="2">
        <f>IF(COUNTIF(Roster!$D221:$M221,H$1)&gt;0,$B221,0)</f>
        <v>0</v>
      </c>
      <c r="I221" s="2">
        <f>IF(COUNTIF(Roster!$D221:$M221,I$1)&gt;0,$B221,0)</f>
        <v>0</v>
      </c>
      <c r="J221" s="2">
        <f>IF(COUNTIF(Roster!$D221:$M221,J$1)&gt;0,$B221,0)</f>
        <v>0</v>
      </c>
      <c r="K221" s="2">
        <f>IF(COUNTIF(Roster!$D221:$M221,K$1)&gt;0,$B221,0)</f>
        <v>0</v>
      </c>
      <c r="L221" s="2">
        <f>IF(COUNTIF(Roster!$D221:$M221,L$1)&gt;0,$B221,0)</f>
        <v>0</v>
      </c>
      <c r="M221" s="2">
        <f>IF(COUNTIF(Roster!$D221:$M221,M$1)&gt;0,$B221,0)</f>
        <v>0</v>
      </c>
      <c r="N221" s="2">
        <f>IF(COUNTIF(Roster!$D221:$M221,N$1)&gt;0,$B221,0)</f>
        <v>0</v>
      </c>
      <c r="O221" s="2">
        <f>IF(COUNTIF(Roster!$D221:$M221,O$1)&gt;0,$B221,0)</f>
        <v>0</v>
      </c>
      <c r="P221" s="2">
        <f>IF(COUNTIF(Roster!$D221:$M221,P$1)&gt;0,$B221,0)</f>
        <v>0</v>
      </c>
      <c r="Q221" s="2">
        <f>IF(COUNTIF(Roster!$D221:$M221,Q$1)&gt;0,$B221,0)</f>
        <v>0</v>
      </c>
      <c r="R221" s="2">
        <f>IF(COUNTIF(Roster!$D221:$M221,R$1)&gt;0,$B221,0)</f>
        <v>0</v>
      </c>
      <c r="S221" s="2">
        <f>IF(COUNTIF(Roster!$D221:$M221,S$1)&gt;0,$B221,0)</f>
        <v>0</v>
      </c>
      <c r="T221" s="2">
        <f>IF(COUNTIF(Roster!$D221:$M221,T$1)&gt;0,$B221,0)</f>
        <v>0</v>
      </c>
      <c r="U221" s="2">
        <f>IF(COUNTIF(Roster!$D221:$M221,U$1)&gt;0,$B221,0)</f>
        <v>0</v>
      </c>
      <c r="V221" s="2">
        <f>IF(COUNTIF(Roster!$D221:$M221,V$1)&gt;0,$B221,0)</f>
        <v>0</v>
      </c>
      <c r="W221" s="2">
        <f>IF(COUNTIF(Roster!$D221:$M221,W$1)&gt;0,$B221,0)</f>
        <v>0</v>
      </c>
      <c r="X221" s="2">
        <f t="shared" si="3"/>
        <v>0</v>
      </c>
    </row>
    <row r="222" spans="1:24" ht="15" customHeight="1" x14ac:dyDescent="0.3">
      <c r="A222" s="2">
        <f>Roster!A222</f>
        <v>221</v>
      </c>
      <c r="B222" s="2">
        <f>Roster!C222</f>
        <v>0</v>
      </c>
      <c r="C222" s="2">
        <f>IF(COUNTIF(Roster!$D222:$M222,C$1)&gt;0,$B222,0)</f>
        <v>0</v>
      </c>
      <c r="D222" s="2">
        <f>IF(COUNTIF(Roster!$D222:$M222,D$1)&gt;0,$B222,0)</f>
        <v>0</v>
      </c>
      <c r="E222" s="2">
        <f>IF(COUNTIF(Roster!$D222:$M222,E$1)&gt;0,$B222,0)</f>
        <v>0</v>
      </c>
      <c r="F222" s="2">
        <f>IF(COUNTIF(Roster!$D222:$M222,F$1)&gt;0,$B222,0)</f>
        <v>0</v>
      </c>
      <c r="G222" s="2">
        <f>IF(COUNTIF(Roster!$D222:$M222,G$1)&gt;0,$B222,0)</f>
        <v>0</v>
      </c>
      <c r="H222" s="2">
        <f>IF(COUNTIF(Roster!$D222:$M222,H$1)&gt;0,$B222,0)</f>
        <v>0</v>
      </c>
      <c r="I222" s="2">
        <f>IF(COUNTIF(Roster!$D222:$M222,I$1)&gt;0,$B222,0)</f>
        <v>0</v>
      </c>
      <c r="J222" s="2">
        <f>IF(COUNTIF(Roster!$D222:$M222,J$1)&gt;0,$B222,0)</f>
        <v>0</v>
      </c>
      <c r="K222" s="2">
        <f>IF(COUNTIF(Roster!$D222:$M222,K$1)&gt;0,$B222,0)</f>
        <v>0</v>
      </c>
      <c r="L222" s="2">
        <f>IF(COUNTIF(Roster!$D222:$M222,L$1)&gt;0,$B222,0)</f>
        <v>0</v>
      </c>
      <c r="M222" s="2">
        <f>IF(COUNTIF(Roster!$D222:$M222,M$1)&gt;0,$B222,0)</f>
        <v>0</v>
      </c>
      <c r="N222" s="2">
        <f>IF(COUNTIF(Roster!$D222:$M222,N$1)&gt;0,$B222,0)</f>
        <v>0</v>
      </c>
      <c r="O222" s="2">
        <f>IF(COUNTIF(Roster!$D222:$M222,O$1)&gt;0,$B222,0)</f>
        <v>0</v>
      </c>
      <c r="P222" s="2">
        <f>IF(COUNTIF(Roster!$D222:$M222,P$1)&gt;0,$B222,0)</f>
        <v>0</v>
      </c>
      <c r="Q222" s="2">
        <f>IF(COUNTIF(Roster!$D222:$M222,Q$1)&gt;0,$B222,0)</f>
        <v>0</v>
      </c>
      <c r="R222" s="2">
        <f>IF(COUNTIF(Roster!$D222:$M222,R$1)&gt;0,$B222,0)</f>
        <v>0</v>
      </c>
      <c r="S222" s="2">
        <f>IF(COUNTIF(Roster!$D222:$M222,S$1)&gt;0,$B222,0)</f>
        <v>0</v>
      </c>
      <c r="T222" s="2">
        <f>IF(COUNTIF(Roster!$D222:$M222,T$1)&gt;0,$B222,0)</f>
        <v>0</v>
      </c>
      <c r="U222" s="2">
        <f>IF(COUNTIF(Roster!$D222:$M222,U$1)&gt;0,$B222,0)</f>
        <v>0</v>
      </c>
      <c r="V222" s="2">
        <f>IF(COUNTIF(Roster!$D222:$M222,V$1)&gt;0,$B222,0)</f>
        <v>0</v>
      </c>
      <c r="W222" s="2">
        <f>IF(COUNTIF(Roster!$D222:$M222,W$1)&gt;0,$B222,0)</f>
        <v>0</v>
      </c>
      <c r="X222" s="2">
        <f t="shared" si="3"/>
        <v>0</v>
      </c>
    </row>
    <row r="223" spans="1:24" ht="15" customHeight="1" x14ac:dyDescent="0.3">
      <c r="A223" s="2">
        <f>Roster!A223</f>
        <v>222</v>
      </c>
      <c r="B223" s="2">
        <f>Roster!C223</f>
        <v>0</v>
      </c>
      <c r="C223" s="2">
        <f>IF(COUNTIF(Roster!$D223:$M223,C$1)&gt;0,$B223,0)</f>
        <v>0</v>
      </c>
      <c r="D223" s="2">
        <f>IF(COUNTIF(Roster!$D223:$M223,D$1)&gt;0,$B223,0)</f>
        <v>0</v>
      </c>
      <c r="E223" s="2">
        <f>IF(COUNTIF(Roster!$D223:$M223,E$1)&gt;0,$B223,0)</f>
        <v>0</v>
      </c>
      <c r="F223" s="2">
        <f>IF(COUNTIF(Roster!$D223:$M223,F$1)&gt;0,$B223,0)</f>
        <v>0</v>
      </c>
      <c r="G223" s="2">
        <f>IF(COUNTIF(Roster!$D223:$M223,G$1)&gt;0,$B223,0)</f>
        <v>0</v>
      </c>
      <c r="H223" s="2">
        <f>IF(COUNTIF(Roster!$D223:$M223,H$1)&gt;0,$B223,0)</f>
        <v>0</v>
      </c>
      <c r="I223" s="2">
        <f>IF(COUNTIF(Roster!$D223:$M223,I$1)&gt;0,$B223,0)</f>
        <v>0</v>
      </c>
      <c r="J223" s="2">
        <f>IF(COUNTIF(Roster!$D223:$M223,J$1)&gt;0,$B223,0)</f>
        <v>0</v>
      </c>
      <c r="K223" s="2">
        <f>IF(COUNTIF(Roster!$D223:$M223,K$1)&gt;0,$B223,0)</f>
        <v>0</v>
      </c>
      <c r="L223" s="2">
        <f>IF(COUNTIF(Roster!$D223:$M223,L$1)&gt;0,$B223,0)</f>
        <v>0</v>
      </c>
      <c r="M223" s="2">
        <f>IF(COUNTIF(Roster!$D223:$M223,M$1)&gt;0,$B223,0)</f>
        <v>0</v>
      </c>
      <c r="N223" s="2">
        <f>IF(COUNTIF(Roster!$D223:$M223,N$1)&gt;0,$B223,0)</f>
        <v>0</v>
      </c>
      <c r="O223" s="2">
        <f>IF(COUNTIF(Roster!$D223:$M223,O$1)&gt;0,$B223,0)</f>
        <v>0</v>
      </c>
      <c r="P223" s="2">
        <f>IF(COUNTIF(Roster!$D223:$M223,P$1)&gt;0,$B223,0)</f>
        <v>0</v>
      </c>
      <c r="Q223" s="2">
        <f>IF(COUNTIF(Roster!$D223:$M223,Q$1)&gt;0,$B223,0)</f>
        <v>0</v>
      </c>
      <c r="R223" s="2">
        <f>IF(COUNTIF(Roster!$D223:$M223,R$1)&gt;0,$B223,0)</f>
        <v>0</v>
      </c>
      <c r="S223" s="2">
        <f>IF(COUNTIF(Roster!$D223:$M223,S$1)&gt;0,$B223,0)</f>
        <v>0</v>
      </c>
      <c r="T223" s="2">
        <f>IF(COUNTIF(Roster!$D223:$M223,T$1)&gt;0,$B223,0)</f>
        <v>0</v>
      </c>
      <c r="U223" s="2">
        <f>IF(COUNTIF(Roster!$D223:$M223,U$1)&gt;0,$B223,0)</f>
        <v>0</v>
      </c>
      <c r="V223" s="2">
        <f>IF(COUNTIF(Roster!$D223:$M223,V$1)&gt;0,$B223,0)</f>
        <v>0</v>
      </c>
      <c r="W223" s="2">
        <f>IF(COUNTIF(Roster!$D223:$M223,W$1)&gt;0,$B223,0)</f>
        <v>0</v>
      </c>
      <c r="X223" s="2">
        <f t="shared" si="3"/>
        <v>0</v>
      </c>
    </row>
    <row r="224" spans="1:24" ht="15" customHeight="1" x14ac:dyDescent="0.3">
      <c r="A224" s="2">
        <f>Roster!A224</f>
        <v>223</v>
      </c>
      <c r="B224" s="2">
        <f>Roster!C224</f>
        <v>0</v>
      </c>
      <c r="C224" s="2">
        <f>IF(COUNTIF(Roster!$D224:$M224,C$1)&gt;0,$B224,0)</f>
        <v>0</v>
      </c>
      <c r="D224" s="2">
        <f>IF(COUNTIF(Roster!$D224:$M224,D$1)&gt;0,$B224,0)</f>
        <v>0</v>
      </c>
      <c r="E224" s="2">
        <f>IF(COUNTIF(Roster!$D224:$M224,E$1)&gt;0,$B224,0)</f>
        <v>0</v>
      </c>
      <c r="F224" s="2">
        <f>IF(COUNTIF(Roster!$D224:$M224,F$1)&gt;0,$B224,0)</f>
        <v>0</v>
      </c>
      <c r="G224" s="2">
        <f>IF(COUNTIF(Roster!$D224:$M224,G$1)&gt;0,$B224,0)</f>
        <v>0</v>
      </c>
      <c r="H224" s="2">
        <f>IF(COUNTIF(Roster!$D224:$M224,H$1)&gt;0,$B224,0)</f>
        <v>0</v>
      </c>
      <c r="I224" s="2">
        <f>IF(COUNTIF(Roster!$D224:$M224,I$1)&gt;0,$B224,0)</f>
        <v>0</v>
      </c>
      <c r="J224" s="2">
        <f>IF(COUNTIF(Roster!$D224:$M224,J$1)&gt;0,$B224,0)</f>
        <v>0</v>
      </c>
      <c r="K224" s="2">
        <f>IF(COUNTIF(Roster!$D224:$M224,K$1)&gt;0,$B224,0)</f>
        <v>0</v>
      </c>
      <c r="L224" s="2">
        <f>IF(COUNTIF(Roster!$D224:$M224,L$1)&gt;0,$B224,0)</f>
        <v>0</v>
      </c>
      <c r="M224" s="2">
        <f>IF(COUNTIF(Roster!$D224:$M224,M$1)&gt;0,$B224,0)</f>
        <v>0</v>
      </c>
      <c r="N224" s="2">
        <f>IF(COUNTIF(Roster!$D224:$M224,N$1)&gt;0,$B224,0)</f>
        <v>0</v>
      </c>
      <c r="O224" s="2">
        <f>IF(COUNTIF(Roster!$D224:$M224,O$1)&gt;0,$B224,0)</f>
        <v>0</v>
      </c>
      <c r="P224" s="2">
        <f>IF(COUNTIF(Roster!$D224:$M224,P$1)&gt;0,$B224,0)</f>
        <v>0</v>
      </c>
      <c r="Q224" s="2">
        <f>IF(COUNTIF(Roster!$D224:$M224,Q$1)&gt;0,$B224,0)</f>
        <v>0</v>
      </c>
      <c r="R224" s="2">
        <f>IF(COUNTIF(Roster!$D224:$M224,R$1)&gt;0,$B224,0)</f>
        <v>0</v>
      </c>
      <c r="S224" s="2">
        <f>IF(COUNTIF(Roster!$D224:$M224,S$1)&gt;0,$B224,0)</f>
        <v>0</v>
      </c>
      <c r="T224" s="2">
        <f>IF(COUNTIF(Roster!$D224:$M224,T$1)&gt;0,$B224,0)</f>
        <v>0</v>
      </c>
      <c r="U224" s="2">
        <f>IF(COUNTIF(Roster!$D224:$M224,U$1)&gt;0,$B224,0)</f>
        <v>0</v>
      </c>
      <c r="V224" s="2">
        <f>IF(COUNTIF(Roster!$D224:$M224,V$1)&gt;0,$B224,0)</f>
        <v>0</v>
      </c>
      <c r="W224" s="2">
        <f>IF(COUNTIF(Roster!$D224:$M224,W$1)&gt;0,$B224,0)</f>
        <v>0</v>
      </c>
      <c r="X224" s="2">
        <f t="shared" si="3"/>
        <v>0</v>
      </c>
    </row>
    <row r="225" spans="1:24" ht="15" customHeight="1" x14ac:dyDescent="0.3">
      <c r="A225" s="2">
        <f>Roster!A225</f>
        <v>224</v>
      </c>
      <c r="B225" s="2">
        <f>Roster!C225</f>
        <v>0</v>
      </c>
      <c r="C225" s="2">
        <f>IF(COUNTIF(Roster!$D225:$M225,C$1)&gt;0,$B225,0)</f>
        <v>0</v>
      </c>
      <c r="D225" s="2">
        <f>IF(COUNTIF(Roster!$D225:$M225,D$1)&gt;0,$B225,0)</f>
        <v>0</v>
      </c>
      <c r="E225" s="2">
        <f>IF(COUNTIF(Roster!$D225:$M225,E$1)&gt;0,$B225,0)</f>
        <v>0</v>
      </c>
      <c r="F225" s="2">
        <f>IF(COUNTIF(Roster!$D225:$M225,F$1)&gt;0,$B225,0)</f>
        <v>0</v>
      </c>
      <c r="G225" s="2">
        <f>IF(COUNTIF(Roster!$D225:$M225,G$1)&gt;0,$B225,0)</f>
        <v>0</v>
      </c>
      <c r="H225" s="2">
        <f>IF(COUNTIF(Roster!$D225:$M225,H$1)&gt;0,$B225,0)</f>
        <v>0</v>
      </c>
      <c r="I225" s="2">
        <f>IF(COUNTIF(Roster!$D225:$M225,I$1)&gt;0,$B225,0)</f>
        <v>0</v>
      </c>
      <c r="J225" s="2">
        <f>IF(COUNTIF(Roster!$D225:$M225,J$1)&gt;0,$B225,0)</f>
        <v>0</v>
      </c>
      <c r="K225" s="2">
        <f>IF(COUNTIF(Roster!$D225:$M225,K$1)&gt;0,$B225,0)</f>
        <v>0</v>
      </c>
      <c r="L225" s="2">
        <f>IF(COUNTIF(Roster!$D225:$M225,L$1)&gt;0,$B225,0)</f>
        <v>0</v>
      </c>
      <c r="M225" s="2">
        <f>IF(COUNTIF(Roster!$D225:$M225,M$1)&gt;0,$B225,0)</f>
        <v>0</v>
      </c>
      <c r="N225" s="2">
        <f>IF(COUNTIF(Roster!$D225:$M225,N$1)&gt;0,$B225,0)</f>
        <v>0</v>
      </c>
      <c r="O225" s="2">
        <f>IF(COUNTIF(Roster!$D225:$M225,O$1)&gt;0,$B225,0)</f>
        <v>0</v>
      </c>
      <c r="P225" s="2">
        <f>IF(COUNTIF(Roster!$D225:$M225,P$1)&gt;0,$B225,0)</f>
        <v>0</v>
      </c>
      <c r="Q225" s="2">
        <f>IF(COUNTIF(Roster!$D225:$M225,Q$1)&gt;0,$B225,0)</f>
        <v>0</v>
      </c>
      <c r="R225" s="2">
        <f>IF(COUNTIF(Roster!$D225:$M225,R$1)&gt;0,$B225,0)</f>
        <v>0</v>
      </c>
      <c r="S225" s="2">
        <f>IF(COUNTIF(Roster!$D225:$M225,S$1)&gt;0,$B225,0)</f>
        <v>0</v>
      </c>
      <c r="T225" s="2">
        <f>IF(COUNTIF(Roster!$D225:$M225,T$1)&gt;0,$B225,0)</f>
        <v>0</v>
      </c>
      <c r="U225" s="2">
        <f>IF(COUNTIF(Roster!$D225:$M225,U$1)&gt;0,$B225,0)</f>
        <v>0</v>
      </c>
      <c r="V225" s="2">
        <f>IF(COUNTIF(Roster!$D225:$M225,V$1)&gt;0,$B225,0)</f>
        <v>0</v>
      </c>
      <c r="W225" s="2">
        <f>IF(COUNTIF(Roster!$D225:$M225,W$1)&gt;0,$B225,0)</f>
        <v>0</v>
      </c>
      <c r="X225" s="2">
        <f t="shared" si="3"/>
        <v>0</v>
      </c>
    </row>
    <row r="226" spans="1:24" ht="15" customHeight="1" x14ac:dyDescent="0.3">
      <c r="A226" s="2">
        <f>Roster!A226</f>
        <v>225</v>
      </c>
      <c r="B226" s="2">
        <f>Roster!C226</f>
        <v>0</v>
      </c>
      <c r="C226" s="2">
        <f>IF(COUNTIF(Roster!$D226:$M226,C$1)&gt;0,$B226,0)</f>
        <v>0</v>
      </c>
      <c r="D226" s="2">
        <f>IF(COUNTIF(Roster!$D226:$M226,D$1)&gt;0,$B226,0)</f>
        <v>0</v>
      </c>
      <c r="E226" s="2">
        <f>IF(COUNTIF(Roster!$D226:$M226,E$1)&gt;0,$B226,0)</f>
        <v>0</v>
      </c>
      <c r="F226" s="2">
        <f>IF(COUNTIF(Roster!$D226:$M226,F$1)&gt;0,$B226,0)</f>
        <v>0</v>
      </c>
      <c r="G226" s="2">
        <f>IF(COUNTIF(Roster!$D226:$M226,G$1)&gt;0,$B226,0)</f>
        <v>0</v>
      </c>
      <c r="H226" s="2">
        <f>IF(COUNTIF(Roster!$D226:$M226,H$1)&gt;0,$B226,0)</f>
        <v>0</v>
      </c>
      <c r="I226" s="2">
        <f>IF(COUNTIF(Roster!$D226:$M226,I$1)&gt;0,$B226,0)</f>
        <v>0</v>
      </c>
      <c r="J226" s="2">
        <f>IF(COUNTIF(Roster!$D226:$M226,J$1)&gt;0,$B226,0)</f>
        <v>0</v>
      </c>
      <c r="K226" s="2">
        <f>IF(COUNTIF(Roster!$D226:$M226,K$1)&gt;0,$B226,0)</f>
        <v>0</v>
      </c>
      <c r="L226" s="2">
        <f>IF(COUNTIF(Roster!$D226:$M226,L$1)&gt;0,$B226,0)</f>
        <v>0</v>
      </c>
      <c r="M226" s="2">
        <f>IF(COUNTIF(Roster!$D226:$M226,M$1)&gt;0,$B226,0)</f>
        <v>0</v>
      </c>
      <c r="N226" s="2">
        <f>IF(COUNTIF(Roster!$D226:$M226,N$1)&gt;0,$B226,0)</f>
        <v>0</v>
      </c>
      <c r="O226" s="2">
        <f>IF(COUNTIF(Roster!$D226:$M226,O$1)&gt;0,$B226,0)</f>
        <v>0</v>
      </c>
      <c r="P226" s="2">
        <f>IF(COUNTIF(Roster!$D226:$M226,P$1)&gt;0,$B226,0)</f>
        <v>0</v>
      </c>
      <c r="Q226" s="2">
        <f>IF(COUNTIF(Roster!$D226:$M226,Q$1)&gt;0,$B226,0)</f>
        <v>0</v>
      </c>
      <c r="R226" s="2">
        <f>IF(COUNTIF(Roster!$D226:$M226,R$1)&gt;0,$B226,0)</f>
        <v>0</v>
      </c>
      <c r="S226" s="2">
        <f>IF(COUNTIF(Roster!$D226:$M226,S$1)&gt;0,$B226,0)</f>
        <v>0</v>
      </c>
      <c r="T226" s="2">
        <f>IF(COUNTIF(Roster!$D226:$M226,T$1)&gt;0,$B226,0)</f>
        <v>0</v>
      </c>
      <c r="U226" s="2">
        <f>IF(COUNTIF(Roster!$D226:$M226,U$1)&gt;0,$B226,0)</f>
        <v>0</v>
      </c>
      <c r="V226" s="2">
        <f>IF(COUNTIF(Roster!$D226:$M226,V$1)&gt;0,$B226,0)</f>
        <v>0</v>
      </c>
      <c r="W226" s="2">
        <f>IF(COUNTIF(Roster!$D226:$M226,W$1)&gt;0,$B226,0)</f>
        <v>0</v>
      </c>
      <c r="X226" s="2">
        <f t="shared" si="3"/>
        <v>0</v>
      </c>
    </row>
    <row r="227" spans="1:24" ht="15" customHeight="1" x14ac:dyDescent="0.3">
      <c r="A227" s="2">
        <f>Roster!A227</f>
        <v>226</v>
      </c>
      <c r="B227" s="2">
        <f>Roster!C227</f>
        <v>0</v>
      </c>
      <c r="C227" s="2">
        <f>IF(COUNTIF(Roster!$D227:$M227,C$1)&gt;0,$B227,0)</f>
        <v>0</v>
      </c>
      <c r="D227" s="2">
        <f>IF(COUNTIF(Roster!$D227:$M227,D$1)&gt;0,$B227,0)</f>
        <v>0</v>
      </c>
      <c r="E227" s="2">
        <f>IF(COUNTIF(Roster!$D227:$M227,E$1)&gt;0,$B227,0)</f>
        <v>0</v>
      </c>
      <c r="F227" s="2">
        <f>IF(COUNTIF(Roster!$D227:$M227,F$1)&gt;0,$B227,0)</f>
        <v>0</v>
      </c>
      <c r="G227" s="2">
        <f>IF(COUNTIF(Roster!$D227:$M227,G$1)&gt;0,$B227,0)</f>
        <v>0</v>
      </c>
      <c r="H227" s="2">
        <f>IF(COUNTIF(Roster!$D227:$M227,H$1)&gt;0,$B227,0)</f>
        <v>0</v>
      </c>
      <c r="I227" s="2">
        <f>IF(COUNTIF(Roster!$D227:$M227,I$1)&gt;0,$B227,0)</f>
        <v>0</v>
      </c>
      <c r="J227" s="2">
        <f>IF(COUNTIF(Roster!$D227:$M227,J$1)&gt;0,$B227,0)</f>
        <v>0</v>
      </c>
      <c r="K227" s="2">
        <f>IF(COUNTIF(Roster!$D227:$M227,K$1)&gt;0,$B227,0)</f>
        <v>0</v>
      </c>
      <c r="L227" s="2">
        <f>IF(COUNTIF(Roster!$D227:$M227,L$1)&gt;0,$B227,0)</f>
        <v>0</v>
      </c>
      <c r="M227" s="2">
        <f>IF(COUNTIF(Roster!$D227:$M227,M$1)&gt;0,$B227,0)</f>
        <v>0</v>
      </c>
      <c r="N227" s="2">
        <f>IF(COUNTIF(Roster!$D227:$M227,N$1)&gt;0,$B227,0)</f>
        <v>0</v>
      </c>
      <c r="O227" s="2">
        <f>IF(COUNTIF(Roster!$D227:$M227,O$1)&gt;0,$B227,0)</f>
        <v>0</v>
      </c>
      <c r="P227" s="2">
        <f>IF(COUNTIF(Roster!$D227:$M227,P$1)&gt;0,$B227,0)</f>
        <v>0</v>
      </c>
      <c r="Q227" s="2">
        <f>IF(COUNTIF(Roster!$D227:$M227,Q$1)&gt;0,$B227,0)</f>
        <v>0</v>
      </c>
      <c r="R227" s="2">
        <f>IF(COUNTIF(Roster!$D227:$M227,R$1)&gt;0,$B227,0)</f>
        <v>0</v>
      </c>
      <c r="S227" s="2">
        <f>IF(COUNTIF(Roster!$D227:$M227,S$1)&gt;0,$B227,0)</f>
        <v>0</v>
      </c>
      <c r="T227" s="2">
        <f>IF(COUNTIF(Roster!$D227:$M227,T$1)&gt;0,$B227,0)</f>
        <v>0</v>
      </c>
      <c r="U227" s="2">
        <f>IF(COUNTIF(Roster!$D227:$M227,U$1)&gt;0,$B227,0)</f>
        <v>0</v>
      </c>
      <c r="V227" s="2">
        <f>IF(COUNTIF(Roster!$D227:$M227,V$1)&gt;0,$B227,0)</f>
        <v>0</v>
      </c>
      <c r="W227" s="2">
        <f>IF(COUNTIF(Roster!$D227:$M227,W$1)&gt;0,$B227,0)</f>
        <v>0</v>
      </c>
      <c r="X227" s="2">
        <f t="shared" si="3"/>
        <v>0</v>
      </c>
    </row>
    <row r="228" spans="1:24" ht="15" customHeight="1" x14ac:dyDescent="0.3">
      <c r="A228" s="2">
        <f>Roster!A228</f>
        <v>227</v>
      </c>
      <c r="B228" s="2">
        <f>Roster!C228</f>
        <v>0</v>
      </c>
      <c r="C228" s="2">
        <f>IF(COUNTIF(Roster!$D228:$M228,C$1)&gt;0,$B228,0)</f>
        <v>0</v>
      </c>
      <c r="D228" s="2">
        <f>IF(COUNTIF(Roster!$D228:$M228,D$1)&gt;0,$B228,0)</f>
        <v>0</v>
      </c>
      <c r="E228" s="2">
        <f>IF(COUNTIF(Roster!$D228:$M228,E$1)&gt;0,$B228,0)</f>
        <v>0</v>
      </c>
      <c r="F228" s="2">
        <f>IF(COUNTIF(Roster!$D228:$M228,F$1)&gt;0,$B228,0)</f>
        <v>0</v>
      </c>
      <c r="G228" s="2">
        <f>IF(COUNTIF(Roster!$D228:$M228,G$1)&gt;0,$B228,0)</f>
        <v>0</v>
      </c>
      <c r="H228" s="2">
        <f>IF(COUNTIF(Roster!$D228:$M228,H$1)&gt;0,$B228,0)</f>
        <v>0</v>
      </c>
      <c r="I228" s="2">
        <f>IF(COUNTIF(Roster!$D228:$M228,I$1)&gt;0,$B228,0)</f>
        <v>0</v>
      </c>
      <c r="J228" s="2">
        <f>IF(COUNTIF(Roster!$D228:$M228,J$1)&gt;0,$B228,0)</f>
        <v>0</v>
      </c>
      <c r="K228" s="2">
        <f>IF(COUNTIF(Roster!$D228:$M228,K$1)&gt;0,$B228,0)</f>
        <v>0</v>
      </c>
      <c r="L228" s="2">
        <f>IF(COUNTIF(Roster!$D228:$M228,L$1)&gt;0,$B228,0)</f>
        <v>0</v>
      </c>
      <c r="M228" s="2">
        <f>IF(COUNTIF(Roster!$D228:$M228,M$1)&gt;0,$B228,0)</f>
        <v>0</v>
      </c>
      <c r="N228" s="2">
        <f>IF(COUNTIF(Roster!$D228:$M228,N$1)&gt;0,$B228,0)</f>
        <v>0</v>
      </c>
      <c r="O228" s="2">
        <f>IF(COUNTIF(Roster!$D228:$M228,O$1)&gt;0,$B228,0)</f>
        <v>0</v>
      </c>
      <c r="P228" s="2">
        <f>IF(COUNTIF(Roster!$D228:$M228,P$1)&gt;0,$B228,0)</f>
        <v>0</v>
      </c>
      <c r="Q228" s="2">
        <f>IF(COUNTIF(Roster!$D228:$M228,Q$1)&gt;0,$B228,0)</f>
        <v>0</v>
      </c>
      <c r="R228" s="2">
        <f>IF(COUNTIF(Roster!$D228:$M228,R$1)&gt;0,$B228,0)</f>
        <v>0</v>
      </c>
      <c r="S228" s="2">
        <f>IF(COUNTIF(Roster!$D228:$M228,S$1)&gt;0,$B228,0)</f>
        <v>0</v>
      </c>
      <c r="T228" s="2">
        <f>IF(COUNTIF(Roster!$D228:$M228,T$1)&gt;0,$B228,0)</f>
        <v>0</v>
      </c>
      <c r="U228" s="2">
        <f>IF(COUNTIF(Roster!$D228:$M228,U$1)&gt;0,$B228,0)</f>
        <v>0</v>
      </c>
      <c r="V228" s="2">
        <f>IF(COUNTIF(Roster!$D228:$M228,V$1)&gt;0,$B228,0)</f>
        <v>0</v>
      </c>
      <c r="W228" s="2">
        <f>IF(COUNTIF(Roster!$D228:$M228,W$1)&gt;0,$B228,0)</f>
        <v>0</v>
      </c>
      <c r="X228" s="2">
        <f t="shared" si="3"/>
        <v>0</v>
      </c>
    </row>
    <row r="229" spans="1:24" ht="15" customHeight="1" x14ac:dyDescent="0.3">
      <c r="A229" s="2">
        <f>Roster!A229</f>
        <v>228</v>
      </c>
      <c r="B229" s="2">
        <f>Roster!C229</f>
        <v>0</v>
      </c>
      <c r="C229" s="2">
        <f>IF(COUNTIF(Roster!$D229:$M229,C$1)&gt;0,$B229,0)</f>
        <v>0</v>
      </c>
      <c r="D229" s="2">
        <f>IF(COUNTIF(Roster!$D229:$M229,D$1)&gt;0,$B229,0)</f>
        <v>0</v>
      </c>
      <c r="E229" s="2">
        <f>IF(COUNTIF(Roster!$D229:$M229,E$1)&gt;0,$B229,0)</f>
        <v>0</v>
      </c>
      <c r="F229" s="2">
        <f>IF(COUNTIF(Roster!$D229:$M229,F$1)&gt;0,$B229,0)</f>
        <v>0</v>
      </c>
      <c r="G229" s="2">
        <f>IF(COUNTIF(Roster!$D229:$M229,G$1)&gt;0,$B229,0)</f>
        <v>0</v>
      </c>
      <c r="H229" s="2">
        <f>IF(COUNTIF(Roster!$D229:$M229,H$1)&gt;0,$B229,0)</f>
        <v>0</v>
      </c>
      <c r="I229" s="2">
        <f>IF(COUNTIF(Roster!$D229:$M229,I$1)&gt;0,$B229,0)</f>
        <v>0</v>
      </c>
      <c r="J229" s="2">
        <f>IF(COUNTIF(Roster!$D229:$M229,J$1)&gt;0,$B229,0)</f>
        <v>0</v>
      </c>
      <c r="K229" s="2">
        <f>IF(COUNTIF(Roster!$D229:$M229,K$1)&gt;0,$B229,0)</f>
        <v>0</v>
      </c>
      <c r="L229" s="2">
        <f>IF(COUNTIF(Roster!$D229:$M229,L$1)&gt;0,$B229,0)</f>
        <v>0</v>
      </c>
      <c r="M229" s="2">
        <f>IF(COUNTIF(Roster!$D229:$M229,M$1)&gt;0,$B229,0)</f>
        <v>0</v>
      </c>
      <c r="N229" s="2">
        <f>IF(COUNTIF(Roster!$D229:$M229,N$1)&gt;0,$B229,0)</f>
        <v>0</v>
      </c>
      <c r="O229" s="2">
        <f>IF(COUNTIF(Roster!$D229:$M229,O$1)&gt;0,$B229,0)</f>
        <v>0</v>
      </c>
      <c r="P229" s="2">
        <f>IF(COUNTIF(Roster!$D229:$M229,P$1)&gt;0,$B229,0)</f>
        <v>0</v>
      </c>
      <c r="Q229" s="2">
        <f>IF(COUNTIF(Roster!$D229:$M229,Q$1)&gt;0,$B229,0)</f>
        <v>0</v>
      </c>
      <c r="R229" s="2">
        <f>IF(COUNTIF(Roster!$D229:$M229,R$1)&gt;0,$B229,0)</f>
        <v>0</v>
      </c>
      <c r="S229" s="2">
        <f>IF(COUNTIF(Roster!$D229:$M229,S$1)&gt;0,$B229,0)</f>
        <v>0</v>
      </c>
      <c r="T229" s="2">
        <f>IF(COUNTIF(Roster!$D229:$M229,T$1)&gt;0,$B229,0)</f>
        <v>0</v>
      </c>
      <c r="U229" s="2">
        <f>IF(COUNTIF(Roster!$D229:$M229,U$1)&gt;0,$B229,0)</f>
        <v>0</v>
      </c>
      <c r="V229" s="2">
        <f>IF(COUNTIF(Roster!$D229:$M229,V$1)&gt;0,$B229,0)</f>
        <v>0</v>
      </c>
      <c r="W229" s="2">
        <f>IF(COUNTIF(Roster!$D229:$M229,W$1)&gt;0,$B229,0)</f>
        <v>0</v>
      </c>
      <c r="X229" s="2">
        <f t="shared" si="3"/>
        <v>0</v>
      </c>
    </row>
    <row r="230" spans="1:24" ht="15" customHeight="1" x14ac:dyDescent="0.3">
      <c r="A230" s="2">
        <f>Roster!A230</f>
        <v>229</v>
      </c>
      <c r="B230" s="2">
        <f>Roster!C230</f>
        <v>0</v>
      </c>
      <c r="C230" s="2">
        <f>IF(COUNTIF(Roster!$D230:$M230,C$1)&gt;0,$B230,0)</f>
        <v>0</v>
      </c>
      <c r="D230" s="2">
        <f>IF(COUNTIF(Roster!$D230:$M230,D$1)&gt;0,$B230,0)</f>
        <v>0</v>
      </c>
      <c r="E230" s="2">
        <f>IF(COUNTIF(Roster!$D230:$M230,E$1)&gt;0,$B230,0)</f>
        <v>0</v>
      </c>
      <c r="F230" s="2">
        <f>IF(COUNTIF(Roster!$D230:$M230,F$1)&gt;0,$B230,0)</f>
        <v>0</v>
      </c>
      <c r="G230" s="2">
        <f>IF(COUNTIF(Roster!$D230:$M230,G$1)&gt;0,$B230,0)</f>
        <v>0</v>
      </c>
      <c r="H230" s="2">
        <f>IF(COUNTIF(Roster!$D230:$M230,H$1)&gt;0,$B230,0)</f>
        <v>0</v>
      </c>
      <c r="I230" s="2">
        <f>IF(COUNTIF(Roster!$D230:$M230,I$1)&gt;0,$B230,0)</f>
        <v>0</v>
      </c>
      <c r="J230" s="2">
        <f>IF(COUNTIF(Roster!$D230:$M230,J$1)&gt;0,$B230,0)</f>
        <v>0</v>
      </c>
      <c r="K230" s="2">
        <f>IF(COUNTIF(Roster!$D230:$M230,K$1)&gt;0,$B230,0)</f>
        <v>0</v>
      </c>
      <c r="L230" s="2">
        <f>IF(COUNTIF(Roster!$D230:$M230,L$1)&gt;0,$B230,0)</f>
        <v>0</v>
      </c>
      <c r="M230" s="2">
        <f>IF(COUNTIF(Roster!$D230:$M230,M$1)&gt;0,$B230,0)</f>
        <v>0</v>
      </c>
      <c r="N230" s="2">
        <f>IF(COUNTIF(Roster!$D230:$M230,N$1)&gt;0,$B230,0)</f>
        <v>0</v>
      </c>
      <c r="O230" s="2">
        <f>IF(COUNTIF(Roster!$D230:$M230,O$1)&gt;0,$B230,0)</f>
        <v>0</v>
      </c>
      <c r="P230" s="2">
        <f>IF(COUNTIF(Roster!$D230:$M230,P$1)&gt;0,$B230,0)</f>
        <v>0</v>
      </c>
      <c r="Q230" s="2">
        <f>IF(COUNTIF(Roster!$D230:$M230,Q$1)&gt;0,$B230,0)</f>
        <v>0</v>
      </c>
      <c r="R230" s="2">
        <f>IF(COUNTIF(Roster!$D230:$M230,R$1)&gt;0,$B230,0)</f>
        <v>0</v>
      </c>
      <c r="S230" s="2">
        <f>IF(COUNTIF(Roster!$D230:$M230,S$1)&gt;0,$B230,0)</f>
        <v>0</v>
      </c>
      <c r="T230" s="2">
        <f>IF(COUNTIF(Roster!$D230:$M230,T$1)&gt;0,$B230,0)</f>
        <v>0</v>
      </c>
      <c r="U230" s="2">
        <f>IF(COUNTIF(Roster!$D230:$M230,U$1)&gt;0,$B230,0)</f>
        <v>0</v>
      </c>
      <c r="V230" s="2">
        <f>IF(COUNTIF(Roster!$D230:$M230,V$1)&gt;0,$B230,0)</f>
        <v>0</v>
      </c>
      <c r="W230" s="2">
        <f>IF(COUNTIF(Roster!$D230:$M230,W$1)&gt;0,$B230,0)</f>
        <v>0</v>
      </c>
      <c r="X230" s="2">
        <f t="shared" si="3"/>
        <v>0</v>
      </c>
    </row>
    <row r="231" spans="1:24" ht="15" customHeight="1" x14ac:dyDescent="0.3">
      <c r="A231" s="2">
        <f>Roster!A231</f>
        <v>230</v>
      </c>
      <c r="B231" s="2">
        <f>Roster!C231</f>
        <v>0</v>
      </c>
      <c r="C231" s="2">
        <f>IF(COUNTIF(Roster!$D231:$M231,C$1)&gt;0,$B231,0)</f>
        <v>0</v>
      </c>
      <c r="D231" s="2">
        <f>IF(COUNTIF(Roster!$D231:$M231,D$1)&gt;0,$B231,0)</f>
        <v>0</v>
      </c>
      <c r="E231" s="2">
        <f>IF(COUNTIF(Roster!$D231:$M231,E$1)&gt;0,$B231,0)</f>
        <v>0</v>
      </c>
      <c r="F231" s="2">
        <f>IF(COUNTIF(Roster!$D231:$M231,F$1)&gt;0,$B231,0)</f>
        <v>0</v>
      </c>
      <c r="G231" s="2">
        <f>IF(COUNTIF(Roster!$D231:$M231,G$1)&gt;0,$B231,0)</f>
        <v>0</v>
      </c>
      <c r="H231" s="2">
        <f>IF(COUNTIF(Roster!$D231:$M231,H$1)&gt;0,$B231,0)</f>
        <v>0</v>
      </c>
      <c r="I231" s="2">
        <f>IF(COUNTIF(Roster!$D231:$M231,I$1)&gt;0,$B231,0)</f>
        <v>0</v>
      </c>
      <c r="J231" s="2">
        <f>IF(COUNTIF(Roster!$D231:$M231,J$1)&gt;0,$B231,0)</f>
        <v>0</v>
      </c>
      <c r="K231" s="2">
        <f>IF(COUNTIF(Roster!$D231:$M231,K$1)&gt;0,$B231,0)</f>
        <v>0</v>
      </c>
      <c r="L231" s="2">
        <f>IF(COUNTIF(Roster!$D231:$M231,L$1)&gt;0,$B231,0)</f>
        <v>0</v>
      </c>
      <c r="M231" s="2">
        <f>IF(COUNTIF(Roster!$D231:$M231,M$1)&gt;0,$B231,0)</f>
        <v>0</v>
      </c>
      <c r="N231" s="2">
        <f>IF(COUNTIF(Roster!$D231:$M231,N$1)&gt;0,$B231,0)</f>
        <v>0</v>
      </c>
      <c r="O231" s="2">
        <f>IF(COUNTIF(Roster!$D231:$M231,O$1)&gt;0,$B231,0)</f>
        <v>0</v>
      </c>
      <c r="P231" s="2">
        <f>IF(COUNTIF(Roster!$D231:$M231,P$1)&gt;0,$B231,0)</f>
        <v>0</v>
      </c>
      <c r="Q231" s="2">
        <f>IF(COUNTIF(Roster!$D231:$M231,Q$1)&gt;0,$B231,0)</f>
        <v>0</v>
      </c>
      <c r="R231" s="2">
        <f>IF(COUNTIF(Roster!$D231:$M231,R$1)&gt;0,$B231,0)</f>
        <v>0</v>
      </c>
      <c r="S231" s="2">
        <f>IF(COUNTIF(Roster!$D231:$M231,S$1)&gt;0,$B231,0)</f>
        <v>0</v>
      </c>
      <c r="T231" s="2">
        <f>IF(COUNTIF(Roster!$D231:$M231,T$1)&gt;0,$B231,0)</f>
        <v>0</v>
      </c>
      <c r="U231" s="2">
        <f>IF(COUNTIF(Roster!$D231:$M231,U$1)&gt;0,$B231,0)</f>
        <v>0</v>
      </c>
      <c r="V231" s="2">
        <f>IF(COUNTIF(Roster!$D231:$M231,V$1)&gt;0,$B231,0)</f>
        <v>0</v>
      </c>
      <c r="W231" s="2">
        <f>IF(COUNTIF(Roster!$D231:$M231,W$1)&gt;0,$B231,0)</f>
        <v>0</v>
      </c>
      <c r="X231" s="2">
        <f t="shared" si="3"/>
        <v>0</v>
      </c>
    </row>
    <row r="232" spans="1:24" ht="15" customHeight="1" x14ac:dyDescent="0.3">
      <c r="A232" s="2">
        <f>Roster!A232</f>
        <v>231</v>
      </c>
      <c r="B232" s="2">
        <f>Roster!C232</f>
        <v>0</v>
      </c>
      <c r="C232" s="2">
        <f>IF(COUNTIF(Roster!$D232:$M232,C$1)&gt;0,$B232,0)</f>
        <v>0</v>
      </c>
      <c r="D232" s="2">
        <f>IF(COUNTIF(Roster!$D232:$M232,D$1)&gt;0,$B232,0)</f>
        <v>0</v>
      </c>
      <c r="E232" s="2">
        <f>IF(COUNTIF(Roster!$D232:$M232,E$1)&gt;0,$B232,0)</f>
        <v>0</v>
      </c>
      <c r="F232" s="2">
        <f>IF(COUNTIF(Roster!$D232:$M232,F$1)&gt;0,$B232,0)</f>
        <v>0</v>
      </c>
      <c r="G232" s="2">
        <f>IF(COUNTIF(Roster!$D232:$M232,G$1)&gt;0,$B232,0)</f>
        <v>0</v>
      </c>
      <c r="H232" s="2">
        <f>IF(COUNTIF(Roster!$D232:$M232,H$1)&gt;0,$B232,0)</f>
        <v>0</v>
      </c>
      <c r="I232" s="2">
        <f>IF(COUNTIF(Roster!$D232:$M232,I$1)&gt;0,$B232,0)</f>
        <v>0</v>
      </c>
      <c r="J232" s="2">
        <f>IF(COUNTIF(Roster!$D232:$M232,J$1)&gt;0,$B232,0)</f>
        <v>0</v>
      </c>
      <c r="K232" s="2">
        <f>IF(COUNTIF(Roster!$D232:$M232,K$1)&gt;0,$B232,0)</f>
        <v>0</v>
      </c>
      <c r="L232" s="2">
        <f>IF(COUNTIF(Roster!$D232:$M232,L$1)&gt;0,$B232,0)</f>
        <v>0</v>
      </c>
      <c r="M232" s="2">
        <f>IF(COUNTIF(Roster!$D232:$M232,M$1)&gt;0,$B232,0)</f>
        <v>0</v>
      </c>
      <c r="N232" s="2">
        <f>IF(COUNTIF(Roster!$D232:$M232,N$1)&gt;0,$B232,0)</f>
        <v>0</v>
      </c>
      <c r="O232" s="2">
        <f>IF(COUNTIF(Roster!$D232:$M232,O$1)&gt;0,$B232,0)</f>
        <v>0</v>
      </c>
      <c r="P232" s="2">
        <f>IF(COUNTIF(Roster!$D232:$M232,P$1)&gt;0,$B232,0)</f>
        <v>0</v>
      </c>
      <c r="Q232" s="2">
        <f>IF(COUNTIF(Roster!$D232:$M232,Q$1)&gt;0,$B232,0)</f>
        <v>0</v>
      </c>
      <c r="R232" s="2">
        <f>IF(COUNTIF(Roster!$D232:$M232,R$1)&gt;0,$B232,0)</f>
        <v>0</v>
      </c>
      <c r="S232" s="2">
        <f>IF(COUNTIF(Roster!$D232:$M232,S$1)&gt;0,$B232,0)</f>
        <v>0</v>
      </c>
      <c r="T232" s="2">
        <f>IF(COUNTIF(Roster!$D232:$M232,T$1)&gt;0,$B232,0)</f>
        <v>0</v>
      </c>
      <c r="U232" s="2">
        <f>IF(COUNTIF(Roster!$D232:$M232,U$1)&gt;0,$B232,0)</f>
        <v>0</v>
      </c>
      <c r="V232" s="2">
        <f>IF(COUNTIF(Roster!$D232:$M232,V$1)&gt;0,$B232,0)</f>
        <v>0</v>
      </c>
      <c r="W232" s="2">
        <f>IF(COUNTIF(Roster!$D232:$M232,W$1)&gt;0,$B232,0)</f>
        <v>0</v>
      </c>
      <c r="X232" s="2">
        <f t="shared" si="3"/>
        <v>0</v>
      </c>
    </row>
    <row r="233" spans="1:24" ht="15" customHeight="1" x14ac:dyDescent="0.3">
      <c r="A233" s="2">
        <f>Roster!A233</f>
        <v>232</v>
      </c>
      <c r="B233" s="2">
        <f>Roster!C233</f>
        <v>0</v>
      </c>
      <c r="C233" s="2">
        <f>IF(COUNTIF(Roster!$D233:$M233,C$1)&gt;0,$B233,0)</f>
        <v>0</v>
      </c>
      <c r="D233" s="2">
        <f>IF(COUNTIF(Roster!$D233:$M233,D$1)&gt;0,$B233,0)</f>
        <v>0</v>
      </c>
      <c r="E233" s="2">
        <f>IF(COUNTIF(Roster!$D233:$M233,E$1)&gt;0,$B233,0)</f>
        <v>0</v>
      </c>
      <c r="F233" s="2">
        <f>IF(COUNTIF(Roster!$D233:$M233,F$1)&gt;0,$B233,0)</f>
        <v>0</v>
      </c>
      <c r="G233" s="2">
        <f>IF(COUNTIF(Roster!$D233:$M233,G$1)&gt;0,$B233,0)</f>
        <v>0</v>
      </c>
      <c r="H233" s="2">
        <f>IF(COUNTIF(Roster!$D233:$M233,H$1)&gt;0,$B233,0)</f>
        <v>0</v>
      </c>
      <c r="I233" s="2">
        <f>IF(COUNTIF(Roster!$D233:$M233,I$1)&gt;0,$B233,0)</f>
        <v>0</v>
      </c>
      <c r="J233" s="2">
        <f>IF(COUNTIF(Roster!$D233:$M233,J$1)&gt;0,$B233,0)</f>
        <v>0</v>
      </c>
      <c r="K233" s="2">
        <f>IF(COUNTIF(Roster!$D233:$M233,K$1)&gt;0,$B233,0)</f>
        <v>0</v>
      </c>
      <c r="L233" s="2">
        <f>IF(COUNTIF(Roster!$D233:$M233,L$1)&gt;0,$B233,0)</f>
        <v>0</v>
      </c>
      <c r="M233" s="2">
        <f>IF(COUNTIF(Roster!$D233:$M233,M$1)&gt;0,$B233,0)</f>
        <v>0</v>
      </c>
      <c r="N233" s="2">
        <f>IF(COUNTIF(Roster!$D233:$M233,N$1)&gt;0,$B233,0)</f>
        <v>0</v>
      </c>
      <c r="O233" s="2">
        <f>IF(COUNTIF(Roster!$D233:$M233,O$1)&gt;0,$B233,0)</f>
        <v>0</v>
      </c>
      <c r="P233" s="2">
        <f>IF(COUNTIF(Roster!$D233:$M233,P$1)&gt;0,$B233,0)</f>
        <v>0</v>
      </c>
      <c r="Q233" s="2">
        <f>IF(COUNTIF(Roster!$D233:$M233,Q$1)&gt;0,$B233,0)</f>
        <v>0</v>
      </c>
      <c r="R233" s="2">
        <f>IF(COUNTIF(Roster!$D233:$M233,R$1)&gt;0,$B233,0)</f>
        <v>0</v>
      </c>
      <c r="S233" s="2">
        <f>IF(COUNTIF(Roster!$D233:$M233,S$1)&gt;0,$B233,0)</f>
        <v>0</v>
      </c>
      <c r="T233" s="2">
        <f>IF(COUNTIF(Roster!$D233:$M233,T$1)&gt;0,$B233,0)</f>
        <v>0</v>
      </c>
      <c r="U233" s="2">
        <f>IF(COUNTIF(Roster!$D233:$M233,U$1)&gt;0,$B233,0)</f>
        <v>0</v>
      </c>
      <c r="V233" s="2">
        <f>IF(COUNTIF(Roster!$D233:$M233,V$1)&gt;0,$B233,0)</f>
        <v>0</v>
      </c>
      <c r="W233" s="2">
        <f>IF(COUNTIF(Roster!$D233:$M233,W$1)&gt;0,$B233,0)</f>
        <v>0</v>
      </c>
      <c r="X233" s="2">
        <f t="shared" si="3"/>
        <v>0</v>
      </c>
    </row>
    <row r="234" spans="1:24" ht="15" customHeight="1" x14ac:dyDescent="0.3">
      <c r="A234" s="2">
        <f>Roster!A234</f>
        <v>233</v>
      </c>
      <c r="B234" s="2">
        <f>Roster!C234</f>
        <v>0</v>
      </c>
      <c r="C234" s="2">
        <f>IF(COUNTIF(Roster!$D234:$M234,C$1)&gt;0,$B234,0)</f>
        <v>0</v>
      </c>
      <c r="D234" s="2">
        <f>IF(COUNTIF(Roster!$D234:$M234,D$1)&gt;0,$B234,0)</f>
        <v>0</v>
      </c>
      <c r="E234" s="2">
        <f>IF(COUNTIF(Roster!$D234:$M234,E$1)&gt;0,$B234,0)</f>
        <v>0</v>
      </c>
      <c r="F234" s="2">
        <f>IF(COUNTIF(Roster!$D234:$M234,F$1)&gt;0,$B234,0)</f>
        <v>0</v>
      </c>
      <c r="G234" s="2">
        <f>IF(COUNTIF(Roster!$D234:$M234,G$1)&gt;0,$B234,0)</f>
        <v>0</v>
      </c>
      <c r="H234" s="2">
        <f>IF(COUNTIF(Roster!$D234:$M234,H$1)&gt;0,$B234,0)</f>
        <v>0</v>
      </c>
      <c r="I234" s="2">
        <f>IF(COUNTIF(Roster!$D234:$M234,I$1)&gt;0,$B234,0)</f>
        <v>0</v>
      </c>
      <c r="J234" s="2">
        <f>IF(COUNTIF(Roster!$D234:$M234,J$1)&gt;0,$B234,0)</f>
        <v>0</v>
      </c>
      <c r="K234" s="2">
        <f>IF(COUNTIF(Roster!$D234:$M234,K$1)&gt;0,$B234,0)</f>
        <v>0</v>
      </c>
      <c r="L234" s="2">
        <f>IF(COUNTIF(Roster!$D234:$M234,L$1)&gt;0,$B234,0)</f>
        <v>0</v>
      </c>
      <c r="M234" s="2">
        <f>IF(COUNTIF(Roster!$D234:$M234,M$1)&gt;0,$B234,0)</f>
        <v>0</v>
      </c>
      <c r="N234" s="2">
        <f>IF(COUNTIF(Roster!$D234:$M234,N$1)&gt;0,$B234,0)</f>
        <v>0</v>
      </c>
      <c r="O234" s="2">
        <f>IF(COUNTIF(Roster!$D234:$M234,O$1)&gt;0,$B234,0)</f>
        <v>0</v>
      </c>
      <c r="P234" s="2">
        <f>IF(COUNTIF(Roster!$D234:$M234,P$1)&gt;0,$B234,0)</f>
        <v>0</v>
      </c>
      <c r="Q234" s="2">
        <f>IF(COUNTIF(Roster!$D234:$M234,Q$1)&gt;0,$B234,0)</f>
        <v>0</v>
      </c>
      <c r="R234" s="2">
        <f>IF(COUNTIF(Roster!$D234:$M234,R$1)&gt;0,$B234,0)</f>
        <v>0</v>
      </c>
      <c r="S234" s="2">
        <f>IF(COUNTIF(Roster!$D234:$M234,S$1)&gt;0,$B234,0)</f>
        <v>0</v>
      </c>
      <c r="T234" s="2">
        <f>IF(COUNTIF(Roster!$D234:$M234,T$1)&gt;0,$B234,0)</f>
        <v>0</v>
      </c>
      <c r="U234" s="2">
        <f>IF(COUNTIF(Roster!$D234:$M234,U$1)&gt;0,$B234,0)</f>
        <v>0</v>
      </c>
      <c r="V234" s="2">
        <f>IF(COUNTIF(Roster!$D234:$M234,V$1)&gt;0,$B234,0)</f>
        <v>0</v>
      </c>
      <c r="W234" s="2">
        <f>IF(COUNTIF(Roster!$D234:$M234,W$1)&gt;0,$B234,0)</f>
        <v>0</v>
      </c>
      <c r="X234" s="2">
        <f t="shared" si="3"/>
        <v>0</v>
      </c>
    </row>
    <row r="235" spans="1:24" ht="15" customHeight="1" x14ac:dyDescent="0.3">
      <c r="A235" s="2">
        <f>Roster!A235</f>
        <v>234</v>
      </c>
      <c r="B235" s="2">
        <f>Roster!C235</f>
        <v>0</v>
      </c>
      <c r="C235" s="2">
        <f>IF(COUNTIF(Roster!$D235:$M235,C$1)&gt;0,$B235,0)</f>
        <v>0</v>
      </c>
      <c r="D235" s="2">
        <f>IF(COUNTIF(Roster!$D235:$M235,D$1)&gt;0,$B235,0)</f>
        <v>0</v>
      </c>
      <c r="E235" s="2">
        <f>IF(COUNTIF(Roster!$D235:$M235,E$1)&gt;0,$B235,0)</f>
        <v>0</v>
      </c>
      <c r="F235" s="2">
        <f>IF(COUNTIF(Roster!$D235:$M235,F$1)&gt;0,$B235,0)</f>
        <v>0</v>
      </c>
      <c r="G235" s="2">
        <f>IF(COUNTIF(Roster!$D235:$M235,G$1)&gt;0,$B235,0)</f>
        <v>0</v>
      </c>
      <c r="H235" s="2">
        <f>IF(COUNTIF(Roster!$D235:$M235,H$1)&gt;0,$B235,0)</f>
        <v>0</v>
      </c>
      <c r="I235" s="2">
        <f>IF(COUNTIF(Roster!$D235:$M235,I$1)&gt;0,$B235,0)</f>
        <v>0</v>
      </c>
      <c r="J235" s="2">
        <f>IF(COUNTIF(Roster!$D235:$M235,J$1)&gt;0,$B235,0)</f>
        <v>0</v>
      </c>
      <c r="K235" s="2">
        <f>IF(COUNTIF(Roster!$D235:$M235,K$1)&gt;0,$B235,0)</f>
        <v>0</v>
      </c>
      <c r="L235" s="2">
        <f>IF(COUNTIF(Roster!$D235:$M235,L$1)&gt;0,$B235,0)</f>
        <v>0</v>
      </c>
      <c r="M235" s="2">
        <f>IF(COUNTIF(Roster!$D235:$M235,M$1)&gt;0,$B235,0)</f>
        <v>0</v>
      </c>
      <c r="N235" s="2">
        <f>IF(COUNTIF(Roster!$D235:$M235,N$1)&gt;0,$B235,0)</f>
        <v>0</v>
      </c>
      <c r="O235" s="2">
        <f>IF(COUNTIF(Roster!$D235:$M235,O$1)&gt;0,$B235,0)</f>
        <v>0</v>
      </c>
      <c r="P235" s="2">
        <f>IF(COUNTIF(Roster!$D235:$M235,P$1)&gt;0,$B235,0)</f>
        <v>0</v>
      </c>
      <c r="Q235" s="2">
        <f>IF(COUNTIF(Roster!$D235:$M235,Q$1)&gt;0,$B235,0)</f>
        <v>0</v>
      </c>
      <c r="R235" s="2">
        <f>IF(COUNTIF(Roster!$D235:$M235,R$1)&gt;0,$B235,0)</f>
        <v>0</v>
      </c>
      <c r="S235" s="2">
        <f>IF(COUNTIF(Roster!$D235:$M235,S$1)&gt;0,$B235,0)</f>
        <v>0</v>
      </c>
      <c r="T235" s="2">
        <f>IF(COUNTIF(Roster!$D235:$M235,T$1)&gt;0,$B235,0)</f>
        <v>0</v>
      </c>
      <c r="U235" s="2">
        <f>IF(COUNTIF(Roster!$D235:$M235,U$1)&gt;0,$B235,0)</f>
        <v>0</v>
      </c>
      <c r="V235" s="2">
        <f>IF(COUNTIF(Roster!$D235:$M235,V$1)&gt;0,$B235,0)</f>
        <v>0</v>
      </c>
      <c r="W235" s="2">
        <f>IF(COUNTIF(Roster!$D235:$M235,W$1)&gt;0,$B235,0)</f>
        <v>0</v>
      </c>
      <c r="X235" s="2">
        <f t="shared" si="3"/>
        <v>0</v>
      </c>
    </row>
    <row r="236" spans="1:24" ht="15" customHeight="1" x14ac:dyDescent="0.3">
      <c r="A236" s="2">
        <f>Roster!A236</f>
        <v>235</v>
      </c>
      <c r="B236" s="2">
        <f>Roster!C236</f>
        <v>0</v>
      </c>
      <c r="C236" s="2">
        <f>IF(COUNTIF(Roster!$D236:$M236,C$1)&gt;0,$B236,0)</f>
        <v>0</v>
      </c>
      <c r="D236" s="2">
        <f>IF(COUNTIF(Roster!$D236:$M236,D$1)&gt;0,$B236,0)</f>
        <v>0</v>
      </c>
      <c r="E236" s="2">
        <f>IF(COUNTIF(Roster!$D236:$M236,E$1)&gt;0,$B236,0)</f>
        <v>0</v>
      </c>
      <c r="F236" s="2">
        <f>IF(COUNTIF(Roster!$D236:$M236,F$1)&gt;0,$B236,0)</f>
        <v>0</v>
      </c>
      <c r="G236" s="2">
        <f>IF(COUNTIF(Roster!$D236:$M236,G$1)&gt;0,$B236,0)</f>
        <v>0</v>
      </c>
      <c r="H236" s="2">
        <f>IF(COUNTIF(Roster!$D236:$M236,H$1)&gt;0,$B236,0)</f>
        <v>0</v>
      </c>
      <c r="I236" s="2">
        <f>IF(COUNTIF(Roster!$D236:$M236,I$1)&gt;0,$B236,0)</f>
        <v>0</v>
      </c>
      <c r="J236" s="2">
        <f>IF(COUNTIF(Roster!$D236:$M236,J$1)&gt;0,$B236,0)</f>
        <v>0</v>
      </c>
      <c r="K236" s="2">
        <f>IF(COUNTIF(Roster!$D236:$M236,K$1)&gt;0,$B236,0)</f>
        <v>0</v>
      </c>
      <c r="L236" s="2">
        <f>IF(COUNTIF(Roster!$D236:$M236,L$1)&gt;0,$B236,0)</f>
        <v>0</v>
      </c>
      <c r="M236" s="2">
        <f>IF(COUNTIF(Roster!$D236:$M236,M$1)&gt;0,$B236,0)</f>
        <v>0</v>
      </c>
      <c r="N236" s="2">
        <f>IF(COUNTIF(Roster!$D236:$M236,N$1)&gt;0,$B236,0)</f>
        <v>0</v>
      </c>
      <c r="O236" s="2">
        <f>IF(COUNTIF(Roster!$D236:$M236,O$1)&gt;0,$B236,0)</f>
        <v>0</v>
      </c>
      <c r="P236" s="2">
        <f>IF(COUNTIF(Roster!$D236:$M236,P$1)&gt;0,$B236,0)</f>
        <v>0</v>
      </c>
      <c r="Q236" s="2">
        <f>IF(COUNTIF(Roster!$D236:$M236,Q$1)&gt;0,$B236,0)</f>
        <v>0</v>
      </c>
      <c r="R236" s="2">
        <f>IF(COUNTIF(Roster!$D236:$M236,R$1)&gt;0,$B236,0)</f>
        <v>0</v>
      </c>
      <c r="S236" s="2">
        <f>IF(COUNTIF(Roster!$D236:$M236,S$1)&gt;0,$B236,0)</f>
        <v>0</v>
      </c>
      <c r="T236" s="2">
        <f>IF(COUNTIF(Roster!$D236:$M236,T$1)&gt;0,$B236,0)</f>
        <v>0</v>
      </c>
      <c r="U236" s="2">
        <f>IF(COUNTIF(Roster!$D236:$M236,U$1)&gt;0,$B236,0)</f>
        <v>0</v>
      </c>
      <c r="V236" s="2">
        <f>IF(COUNTIF(Roster!$D236:$M236,V$1)&gt;0,$B236,0)</f>
        <v>0</v>
      </c>
      <c r="W236" s="2">
        <f>IF(COUNTIF(Roster!$D236:$M236,W$1)&gt;0,$B236,0)</f>
        <v>0</v>
      </c>
      <c r="X236" s="2">
        <f t="shared" si="3"/>
        <v>0</v>
      </c>
    </row>
    <row r="237" spans="1:24" ht="15" customHeight="1" x14ac:dyDescent="0.3">
      <c r="A237" s="2">
        <f>Roster!A237</f>
        <v>236</v>
      </c>
      <c r="B237" s="2">
        <f>Roster!C237</f>
        <v>0</v>
      </c>
      <c r="C237" s="2">
        <f>IF(COUNTIF(Roster!$D237:$M237,C$1)&gt;0,$B237,0)</f>
        <v>0</v>
      </c>
      <c r="D237" s="2">
        <f>IF(COUNTIF(Roster!$D237:$M237,D$1)&gt;0,$B237,0)</f>
        <v>0</v>
      </c>
      <c r="E237" s="2">
        <f>IF(COUNTIF(Roster!$D237:$M237,E$1)&gt;0,$B237,0)</f>
        <v>0</v>
      </c>
      <c r="F237" s="2">
        <f>IF(COUNTIF(Roster!$D237:$M237,F$1)&gt;0,$B237,0)</f>
        <v>0</v>
      </c>
      <c r="G237" s="2">
        <f>IF(COUNTIF(Roster!$D237:$M237,G$1)&gt;0,$B237,0)</f>
        <v>0</v>
      </c>
      <c r="H237" s="2">
        <f>IF(COUNTIF(Roster!$D237:$M237,H$1)&gt;0,$B237,0)</f>
        <v>0</v>
      </c>
      <c r="I237" s="2">
        <f>IF(COUNTIF(Roster!$D237:$M237,I$1)&gt;0,$B237,0)</f>
        <v>0</v>
      </c>
      <c r="J237" s="2">
        <f>IF(COUNTIF(Roster!$D237:$M237,J$1)&gt;0,$B237,0)</f>
        <v>0</v>
      </c>
      <c r="K237" s="2">
        <f>IF(COUNTIF(Roster!$D237:$M237,K$1)&gt;0,$B237,0)</f>
        <v>0</v>
      </c>
      <c r="L237" s="2">
        <f>IF(COUNTIF(Roster!$D237:$M237,L$1)&gt;0,$B237,0)</f>
        <v>0</v>
      </c>
      <c r="M237" s="2">
        <f>IF(COUNTIF(Roster!$D237:$M237,M$1)&gt;0,$B237,0)</f>
        <v>0</v>
      </c>
      <c r="N237" s="2">
        <f>IF(COUNTIF(Roster!$D237:$M237,N$1)&gt;0,$B237,0)</f>
        <v>0</v>
      </c>
      <c r="O237" s="2">
        <f>IF(COUNTIF(Roster!$D237:$M237,O$1)&gt;0,$B237,0)</f>
        <v>0</v>
      </c>
      <c r="P237" s="2">
        <f>IF(COUNTIF(Roster!$D237:$M237,P$1)&gt;0,$B237,0)</f>
        <v>0</v>
      </c>
      <c r="Q237" s="2">
        <f>IF(COUNTIF(Roster!$D237:$M237,Q$1)&gt;0,$B237,0)</f>
        <v>0</v>
      </c>
      <c r="R237" s="2">
        <f>IF(COUNTIF(Roster!$D237:$M237,R$1)&gt;0,$B237,0)</f>
        <v>0</v>
      </c>
      <c r="S237" s="2">
        <f>IF(COUNTIF(Roster!$D237:$M237,S$1)&gt;0,$B237,0)</f>
        <v>0</v>
      </c>
      <c r="T237" s="2">
        <f>IF(COUNTIF(Roster!$D237:$M237,T$1)&gt;0,$B237,0)</f>
        <v>0</v>
      </c>
      <c r="U237" s="2">
        <f>IF(COUNTIF(Roster!$D237:$M237,U$1)&gt;0,$B237,0)</f>
        <v>0</v>
      </c>
      <c r="V237" s="2">
        <f>IF(COUNTIF(Roster!$D237:$M237,V$1)&gt;0,$B237,0)</f>
        <v>0</v>
      </c>
      <c r="W237" s="2">
        <f>IF(COUNTIF(Roster!$D237:$M237,W$1)&gt;0,$B237,0)</f>
        <v>0</v>
      </c>
      <c r="X237" s="2">
        <f t="shared" si="3"/>
        <v>0</v>
      </c>
    </row>
    <row r="238" spans="1:24" ht="15" customHeight="1" x14ac:dyDescent="0.3">
      <c r="A238" s="2">
        <f>Roster!A238</f>
        <v>237</v>
      </c>
      <c r="B238" s="2">
        <f>Roster!C238</f>
        <v>0</v>
      </c>
      <c r="C238" s="2">
        <f>IF(COUNTIF(Roster!$D238:$M238,C$1)&gt;0,$B238,0)</f>
        <v>0</v>
      </c>
      <c r="D238" s="2">
        <f>IF(COUNTIF(Roster!$D238:$M238,D$1)&gt;0,$B238,0)</f>
        <v>0</v>
      </c>
      <c r="E238" s="2">
        <f>IF(COUNTIF(Roster!$D238:$M238,E$1)&gt;0,$B238,0)</f>
        <v>0</v>
      </c>
      <c r="F238" s="2">
        <f>IF(COUNTIF(Roster!$D238:$M238,F$1)&gt;0,$B238,0)</f>
        <v>0</v>
      </c>
      <c r="G238" s="2">
        <f>IF(COUNTIF(Roster!$D238:$M238,G$1)&gt;0,$B238,0)</f>
        <v>0</v>
      </c>
      <c r="H238" s="2">
        <f>IF(COUNTIF(Roster!$D238:$M238,H$1)&gt;0,$B238,0)</f>
        <v>0</v>
      </c>
      <c r="I238" s="2">
        <f>IF(COUNTIF(Roster!$D238:$M238,I$1)&gt;0,$B238,0)</f>
        <v>0</v>
      </c>
      <c r="J238" s="2">
        <f>IF(COUNTIF(Roster!$D238:$M238,J$1)&gt;0,$B238,0)</f>
        <v>0</v>
      </c>
      <c r="K238" s="2">
        <f>IF(COUNTIF(Roster!$D238:$M238,K$1)&gt;0,$B238,0)</f>
        <v>0</v>
      </c>
      <c r="L238" s="2">
        <f>IF(COUNTIF(Roster!$D238:$M238,L$1)&gt;0,$B238,0)</f>
        <v>0</v>
      </c>
      <c r="M238" s="2">
        <f>IF(COUNTIF(Roster!$D238:$M238,M$1)&gt;0,$B238,0)</f>
        <v>0</v>
      </c>
      <c r="N238" s="2">
        <f>IF(COUNTIF(Roster!$D238:$M238,N$1)&gt;0,$B238,0)</f>
        <v>0</v>
      </c>
      <c r="O238" s="2">
        <f>IF(COUNTIF(Roster!$D238:$M238,O$1)&gt;0,$B238,0)</f>
        <v>0</v>
      </c>
      <c r="P238" s="2">
        <f>IF(COUNTIF(Roster!$D238:$M238,P$1)&gt;0,$B238,0)</f>
        <v>0</v>
      </c>
      <c r="Q238" s="2">
        <f>IF(COUNTIF(Roster!$D238:$M238,Q$1)&gt;0,$B238,0)</f>
        <v>0</v>
      </c>
      <c r="R238" s="2">
        <f>IF(COUNTIF(Roster!$D238:$M238,R$1)&gt;0,$B238,0)</f>
        <v>0</v>
      </c>
      <c r="S238" s="2">
        <f>IF(COUNTIF(Roster!$D238:$M238,S$1)&gt;0,$B238,0)</f>
        <v>0</v>
      </c>
      <c r="T238" s="2">
        <f>IF(COUNTIF(Roster!$D238:$M238,T$1)&gt;0,$B238,0)</f>
        <v>0</v>
      </c>
      <c r="U238" s="2">
        <f>IF(COUNTIF(Roster!$D238:$M238,U$1)&gt;0,$B238,0)</f>
        <v>0</v>
      </c>
      <c r="V238" s="2">
        <f>IF(COUNTIF(Roster!$D238:$M238,V$1)&gt;0,$B238,0)</f>
        <v>0</v>
      </c>
      <c r="W238" s="2">
        <f>IF(COUNTIF(Roster!$D238:$M238,W$1)&gt;0,$B238,0)</f>
        <v>0</v>
      </c>
      <c r="X238" s="2">
        <f t="shared" si="3"/>
        <v>0</v>
      </c>
    </row>
    <row r="239" spans="1:24" ht="15" customHeight="1" x14ac:dyDescent="0.3">
      <c r="A239" s="2">
        <f>Roster!A239</f>
        <v>238</v>
      </c>
      <c r="B239" s="2">
        <f>Roster!C239</f>
        <v>0</v>
      </c>
      <c r="C239" s="2">
        <f>IF(COUNTIF(Roster!$D239:$M239,C$1)&gt;0,$B239,0)</f>
        <v>0</v>
      </c>
      <c r="D239" s="2">
        <f>IF(COUNTIF(Roster!$D239:$M239,D$1)&gt;0,$B239,0)</f>
        <v>0</v>
      </c>
      <c r="E239" s="2">
        <f>IF(COUNTIF(Roster!$D239:$M239,E$1)&gt;0,$B239,0)</f>
        <v>0</v>
      </c>
      <c r="F239" s="2">
        <f>IF(COUNTIF(Roster!$D239:$M239,F$1)&gt;0,$B239,0)</f>
        <v>0</v>
      </c>
      <c r="G239" s="2">
        <f>IF(COUNTIF(Roster!$D239:$M239,G$1)&gt;0,$B239,0)</f>
        <v>0</v>
      </c>
      <c r="H239" s="2">
        <f>IF(COUNTIF(Roster!$D239:$M239,H$1)&gt;0,$B239,0)</f>
        <v>0</v>
      </c>
      <c r="I239" s="2">
        <f>IF(COUNTIF(Roster!$D239:$M239,I$1)&gt;0,$B239,0)</f>
        <v>0</v>
      </c>
      <c r="J239" s="2">
        <f>IF(COUNTIF(Roster!$D239:$M239,J$1)&gt;0,$B239,0)</f>
        <v>0</v>
      </c>
      <c r="K239" s="2">
        <f>IF(COUNTIF(Roster!$D239:$M239,K$1)&gt;0,$B239,0)</f>
        <v>0</v>
      </c>
      <c r="L239" s="2">
        <f>IF(COUNTIF(Roster!$D239:$M239,L$1)&gt;0,$B239,0)</f>
        <v>0</v>
      </c>
      <c r="M239" s="2">
        <f>IF(COUNTIF(Roster!$D239:$M239,M$1)&gt;0,$B239,0)</f>
        <v>0</v>
      </c>
      <c r="N239" s="2">
        <f>IF(COUNTIF(Roster!$D239:$M239,N$1)&gt;0,$B239,0)</f>
        <v>0</v>
      </c>
      <c r="O239" s="2">
        <f>IF(COUNTIF(Roster!$D239:$M239,O$1)&gt;0,$B239,0)</f>
        <v>0</v>
      </c>
      <c r="P239" s="2">
        <f>IF(COUNTIF(Roster!$D239:$M239,P$1)&gt;0,$B239,0)</f>
        <v>0</v>
      </c>
      <c r="Q239" s="2">
        <f>IF(COUNTIF(Roster!$D239:$M239,Q$1)&gt;0,$B239,0)</f>
        <v>0</v>
      </c>
      <c r="R239" s="2">
        <f>IF(COUNTIF(Roster!$D239:$M239,R$1)&gt;0,$B239,0)</f>
        <v>0</v>
      </c>
      <c r="S239" s="2">
        <f>IF(COUNTIF(Roster!$D239:$M239,S$1)&gt;0,$B239,0)</f>
        <v>0</v>
      </c>
      <c r="T239" s="2">
        <f>IF(COUNTIF(Roster!$D239:$M239,T$1)&gt;0,$B239,0)</f>
        <v>0</v>
      </c>
      <c r="U239" s="2">
        <f>IF(COUNTIF(Roster!$D239:$M239,U$1)&gt;0,$B239,0)</f>
        <v>0</v>
      </c>
      <c r="V239" s="2">
        <f>IF(COUNTIF(Roster!$D239:$M239,V$1)&gt;0,$B239,0)</f>
        <v>0</v>
      </c>
      <c r="W239" s="2">
        <f>IF(COUNTIF(Roster!$D239:$M239,W$1)&gt;0,$B239,0)</f>
        <v>0</v>
      </c>
      <c r="X239" s="2">
        <f t="shared" si="3"/>
        <v>0</v>
      </c>
    </row>
    <row r="240" spans="1:24" ht="15" customHeight="1" x14ac:dyDescent="0.3">
      <c r="A240" s="2">
        <f>Roster!A240</f>
        <v>239</v>
      </c>
      <c r="B240" s="2">
        <f>Roster!C240</f>
        <v>0</v>
      </c>
      <c r="C240" s="2">
        <f>IF(COUNTIF(Roster!$D240:$M240,C$1)&gt;0,$B240,0)</f>
        <v>0</v>
      </c>
      <c r="D240" s="2">
        <f>IF(COUNTIF(Roster!$D240:$M240,D$1)&gt;0,$B240,0)</f>
        <v>0</v>
      </c>
      <c r="E240" s="2">
        <f>IF(COUNTIF(Roster!$D240:$M240,E$1)&gt;0,$B240,0)</f>
        <v>0</v>
      </c>
      <c r="F240" s="2">
        <f>IF(COUNTIF(Roster!$D240:$M240,F$1)&gt;0,$B240,0)</f>
        <v>0</v>
      </c>
      <c r="G240" s="2">
        <f>IF(COUNTIF(Roster!$D240:$M240,G$1)&gt;0,$B240,0)</f>
        <v>0</v>
      </c>
      <c r="H240" s="2">
        <f>IF(COUNTIF(Roster!$D240:$M240,H$1)&gt;0,$B240,0)</f>
        <v>0</v>
      </c>
      <c r="I240" s="2">
        <f>IF(COUNTIF(Roster!$D240:$M240,I$1)&gt;0,$B240,0)</f>
        <v>0</v>
      </c>
      <c r="J240" s="2">
        <f>IF(COUNTIF(Roster!$D240:$M240,J$1)&gt;0,$B240,0)</f>
        <v>0</v>
      </c>
      <c r="K240" s="2">
        <f>IF(COUNTIF(Roster!$D240:$M240,K$1)&gt;0,$B240,0)</f>
        <v>0</v>
      </c>
      <c r="L240" s="2">
        <f>IF(COUNTIF(Roster!$D240:$M240,L$1)&gt;0,$B240,0)</f>
        <v>0</v>
      </c>
      <c r="M240" s="2">
        <f>IF(COUNTIF(Roster!$D240:$M240,M$1)&gt;0,$B240,0)</f>
        <v>0</v>
      </c>
      <c r="N240" s="2">
        <f>IF(COUNTIF(Roster!$D240:$M240,N$1)&gt;0,$B240,0)</f>
        <v>0</v>
      </c>
      <c r="O240" s="2">
        <f>IF(COUNTIF(Roster!$D240:$M240,O$1)&gt;0,$B240,0)</f>
        <v>0</v>
      </c>
      <c r="P240" s="2">
        <f>IF(COUNTIF(Roster!$D240:$M240,P$1)&gt;0,$B240,0)</f>
        <v>0</v>
      </c>
      <c r="Q240" s="2">
        <f>IF(COUNTIF(Roster!$D240:$M240,Q$1)&gt;0,$B240,0)</f>
        <v>0</v>
      </c>
      <c r="R240" s="2">
        <f>IF(COUNTIF(Roster!$D240:$M240,R$1)&gt;0,$B240,0)</f>
        <v>0</v>
      </c>
      <c r="S240" s="2">
        <f>IF(COUNTIF(Roster!$D240:$M240,S$1)&gt;0,$B240,0)</f>
        <v>0</v>
      </c>
      <c r="T240" s="2">
        <f>IF(COUNTIF(Roster!$D240:$M240,T$1)&gt;0,$B240,0)</f>
        <v>0</v>
      </c>
      <c r="U240" s="2">
        <f>IF(COUNTIF(Roster!$D240:$M240,U$1)&gt;0,$B240,0)</f>
        <v>0</v>
      </c>
      <c r="V240" s="2">
        <f>IF(COUNTIF(Roster!$D240:$M240,V$1)&gt;0,$B240,0)</f>
        <v>0</v>
      </c>
      <c r="W240" s="2">
        <f>IF(COUNTIF(Roster!$D240:$M240,W$1)&gt;0,$B240,0)</f>
        <v>0</v>
      </c>
      <c r="X240" s="2">
        <f t="shared" si="3"/>
        <v>0</v>
      </c>
    </row>
    <row r="241" spans="1:24" ht="15" customHeight="1" x14ac:dyDescent="0.3">
      <c r="A241" s="2">
        <f>Roster!A241</f>
        <v>240</v>
      </c>
      <c r="B241" s="2">
        <f>Roster!C241</f>
        <v>0</v>
      </c>
      <c r="C241" s="2">
        <f>IF(COUNTIF(Roster!$D241:$M241,C$1)&gt;0,$B241,0)</f>
        <v>0</v>
      </c>
      <c r="D241" s="2">
        <f>IF(COUNTIF(Roster!$D241:$M241,D$1)&gt;0,$B241,0)</f>
        <v>0</v>
      </c>
      <c r="E241" s="2">
        <f>IF(COUNTIF(Roster!$D241:$M241,E$1)&gt;0,$B241,0)</f>
        <v>0</v>
      </c>
      <c r="F241" s="2">
        <f>IF(COUNTIF(Roster!$D241:$M241,F$1)&gt;0,$B241,0)</f>
        <v>0</v>
      </c>
      <c r="G241" s="2">
        <f>IF(COUNTIF(Roster!$D241:$M241,G$1)&gt;0,$B241,0)</f>
        <v>0</v>
      </c>
      <c r="H241" s="2">
        <f>IF(COUNTIF(Roster!$D241:$M241,H$1)&gt;0,$B241,0)</f>
        <v>0</v>
      </c>
      <c r="I241" s="2">
        <f>IF(COUNTIF(Roster!$D241:$M241,I$1)&gt;0,$B241,0)</f>
        <v>0</v>
      </c>
      <c r="J241" s="2">
        <f>IF(COUNTIF(Roster!$D241:$M241,J$1)&gt;0,$B241,0)</f>
        <v>0</v>
      </c>
      <c r="K241" s="2">
        <f>IF(COUNTIF(Roster!$D241:$M241,K$1)&gt;0,$B241,0)</f>
        <v>0</v>
      </c>
      <c r="L241" s="2">
        <f>IF(COUNTIF(Roster!$D241:$M241,L$1)&gt;0,$B241,0)</f>
        <v>0</v>
      </c>
      <c r="M241" s="2">
        <f>IF(COUNTIF(Roster!$D241:$M241,M$1)&gt;0,$B241,0)</f>
        <v>0</v>
      </c>
      <c r="N241" s="2">
        <f>IF(COUNTIF(Roster!$D241:$M241,N$1)&gt;0,$B241,0)</f>
        <v>0</v>
      </c>
      <c r="O241" s="2">
        <f>IF(COUNTIF(Roster!$D241:$M241,O$1)&gt;0,$B241,0)</f>
        <v>0</v>
      </c>
      <c r="P241" s="2">
        <f>IF(COUNTIF(Roster!$D241:$M241,P$1)&gt;0,$B241,0)</f>
        <v>0</v>
      </c>
      <c r="Q241" s="2">
        <f>IF(COUNTIF(Roster!$D241:$M241,Q$1)&gt;0,$B241,0)</f>
        <v>0</v>
      </c>
      <c r="R241" s="2">
        <f>IF(COUNTIF(Roster!$D241:$M241,R$1)&gt;0,$B241,0)</f>
        <v>0</v>
      </c>
      <c r="S241" s="2">
        <f>IF(COUNTIF(Roster!$D241:$M241,S$1)&gt;0,$B241,0)</f>
        <v>0</v>
      </c>
      <c r="T241" s="2">
        <f>IF(COUNTIF(Roster!$D241:$M241,T$1)&gt;0,$B241,0)</f>
        <v>0</v>
      </c>
      <c r="U241" s="2">
        <f>IF(COUNTIF(Roster!$D241:$M241,U$1)&gt;0,$B241,0)</f>
        <v>0</v>
      </c>
      <c r="V241" s="2">
        <f>IF(COUNTIF(Roster!$D241:$M241,V$1)&gt;0,$B241,0)</f>
        <v>0</v>
      </c>
      <c r="W241" s="2">
        <f>IF(COUNTIF(Roster!$D241:$M241,W$1)&gt;0,$B241,0)</f>
        <v>0</v>
      </c>
      <c r="X241" s="2">
        <f t="shared" si="3"/>
        <v>0</v>
      </c>
    </row>
    <row r="242" spans="1:24" ht="15" customHeight="1" x14ac:dyDescent="0.3">
      <c r="A242" s="2">
        <f>Roster!A242</f>
        <v>241</v>
      </c>
      <c r="B242" s="2">
        <f>Roster!C242</f>
        <v>0</v>
      </c>
      <c r="C242" s="2">
        <f>IF(COUNTIF(Roster!$D242:$M242,C$1)&gt;0,$B242,0)</f>
        <v>0</v>
      </c>
      <c r="D242" s="2">
        <f>IF(COUNTIF(Roster!$D242:$M242,D$1)&gt;0,$B242,0)</f>
        <v>0</v>
      </c>
      <c r="E242" s="2">
        <f>IF(COUNTIF(Roster!$D242:$M242,E$1)&gt;0,$B242,0)</f>
        <v>0</v>
      </c>
      <c r="F242" s="2">
        <f>IF(COUNTIF(Roster!$D242:$M242,F$1)&gt;0,$B242,0)</f>
        <v>0</v>
      </c>
      <c r="G242" s="2">
        <f>IF(COUNTIF(Roster!$D242:$M242,G$1)&gt;0,$B242,0)</f>
        <v>0</v>
      </c>
      <c r="H242" s="2">
        <f>IF(COUNTIF(Roster!$D242:$M242,H$1)&gt;0,$B242,0)</f>
        <v>0</v>
      </c>
      <c r="I242" s="2">
        <f>IF(COUNTIF(Roster!$D242:$M242,I$1)&gt;0,$B242,0)</f>
        <v>0</v>
      </c>
      <c r="J242" s="2">
        <f>IF(COUNTIF(Roster!$D242:$M242,J$1)&gt;0,$B242,0)</f>
        <v>0</v>
      </c>
      <c r="K242" s="2">
        <f>IF(COUNTIF(Roster!$D242:$M242,K$1)&gt;0,$B242,0)</f>
        <v>0</v>
      </c>
      <c r="L242" s="2">
        <f>IF(COUNTIF(Roster!$D242:$M242,L$1)&gt;0,$B242,0)</f>
        <v>0</v>
      </c>
      <c r="M242" s="2">
        <f>IF(COUNTIF(Roster!$D242:$M242,M$1)&gt;0,$B242,0)</f>
        <v>0</v>
      </c>
      <c r="N242" s="2">
        <f>IF(COUNTIF(Roster!$D242:$M242,N$1)&gt;0,$B242,0)</f>
        <v>0</v>
      </c>
      <c r="O242" s="2">
        <f>IF(COUNTIF(Roster!$D242:$M242,O$1)&gt;0,$B242,0)</f>
        <v>0</v>
      </c>
      <c r="P242" s="2">
        <f>IF(COUNTIF(Roster!$D242:$M242,P$1)&gt;0,$B242,0)</f>
        <v>0</v>
      </c>
      <c r="Q242" s="2">
        <f>IF(COUNTIF(Roster!$D242:$M242,Q$1)&gt;0,$B242,0)</f>
        <v>0</v>
      </c>
      <c r="R242" s="2">
        <f>IF(COUNTIF(Roster!$D242:$M242,R$1)&gt;0,$B242,0)</f>
        <v>0</v>
      </c>
      <c r="S242" s="2">
        <f>IF(COUNTIF(Roster!$D242:$M242,S$1)&gt;0,$B242,0)</f>
        <v>0</v>
      </c>
      <c r="T242" s="2">
        <f>IF(COUNTIF(Roster!$D242:$M242,T$1)&gt;0,$B242,0)</f>
        <v>0</v>
      </c>
      <c r="U242" s="2">
        <f>IF(COUNTIF(Roster!$D242:$M242,U$1)&gt;0,$B242,0)</f>
        <v>0</v>
      </c>
      <c r="V242" s="2">
        <f>IF(COUNTIF(Roster!$D242:$M242,V$1)&gt;0,$B242,0)</f>
        <v>0</v>
      </c>
      <c r="W242" s="2">
        <f>IF(COUNTIF(Roster!$D242:$M242,W$1)&gt;0,$B242,0)</f>
        <v>0</v>
      </c>
      <c r="X242" s="2">
        <f t="shared" si="3"/>
        <v>0</v>
      </c>
    </row>
    <row r="243" spans="1:24" ht="15" customHeight="1" x14ac:dyDescent="0.3">
      <c r="A243" s="2">
        <f>Roster!A243</f>
        <v>242</v>
      </c>
      <c r="B243" s="2">
        <f>Roster!C243</f>
        <v>0</v>
      </c>
      <c r="C243" s="2">
        <f>IF(COUNTIF(Roster!$D243:$M243,C$1)&gt;0,$B243,0)</f>
        <v>0</v>
      </c>
      <c r="D243" s="2">
        <f>IF(COUNTIF(Roster!$D243:$M243,D$1)&gt;0,$B243,0)</f>
        <v>0</v>
      </c>
      <c r="E243" s="2">
        <f>IF(COUNTIF(Roster!$D243:$M243,E$1)&gt;0,$B243,0)</f>
        <v>0</v>
      </c>
      <c r="F243" s="2">
        <f>IF(COUNTIF(Roster!$D243:$M243,F$1)&gt;0,$B243,0)</f>
        <v>0</v>
      </c>
      <c r="G243" s="2">
        <f>IF(COUNTIF(Roster!$D243:$M243,G$1)&gt;0,$B243,0)</f>
        <v>0</v>
      </c>
      <c r="H243" s="2">
        <f>IF(COUNTIF(Roster!$D243:$M243,H$1)&gt;0,$B243,0)</f>
        <v>0</v>
      </c>
      <c r="I243" s="2">
        <f>IF(COUNTIF(Roster!$D243:$M243,I$1)&gt;0,$B243,0)</f>
        <v>0</v>
      </c>
      <c r="J243" s="2">
        <f>IF(COUNTIF(Roster!$D243:$M243,J$1)&gt;0,$B243,0)</f>
        <v>0</v>
      </c>
      <c r="K243" s="2">
        <f>IF(COUNTIF(Roster!$D243:$M243,K$1)&gt;0,$B243,0)</f>
        <v>0</v>
      </c>
      <c r="L243" s="2">
        <f>IF(COUNTIF(Roster!$D243:$M243,L$1)&gt;0,$B243,0)</f>
        <v>0</v>
      </c>
      <c r="M243" s="2">
        <f>IF(COUNTIF(Roster!$D243:$M243,M$1)&gt;0,$B243,0)</f>
        <v>0</v>
      </c>
      <c r="N243" s="2">
        <f>IF(COUNTIF(Roster!$D243:$M243,N$1)&gt;0,$B243,0)</f>
        <v>0</v>
      </c>
      <c r="O243" s="2">
        <f>IF(COUNTIF(Roster!$D243:$M243,O$1)&gt;0,$B243,0)</f>
        <v>0</v>
      </c>
      <c r="P243" s="2">
        <f>IF(COUNTIF(Roster!$D243:$M243,P$1)&gt;0,$B243,0)</f>
        <v>0</v>
      </c>
      <c r="Q243" s="2">
        <f>IF(COUNTIF(Roster!$D243:$M243,Q$1)&gt;0,$B243,0)</f>
        <v>0</v>
      </c>
      <c r="R243" s="2">
        <f>IF(COUNTIF(Roster!$D243:$M243,R$1)&gt;0,$B243,0)</f>
        <v>0</v>
      </c>
      <c r="S243" s="2">
        <f>IF(COUNTIF(Roster!$D243:$M243,S$1)&gt;0,$B243,0)</f>
        <v>0</v>
      </c>
      <c r="T243" s="2">
        <f>IF(COUNTIF(Roster!$D243:$M243,T$1)&gt;0,$B243,0)</f>
        <v>0</v>
      </c>
      <c r="U243" s="2">
        <f>IF(COUNTIF(Roster!$D243:$M243,U$1)&gt;0,$B243,0)</f>
        <v>0</v>
      </c>
      <c r="V243" s="2">
        <f>IF(COUNTIF(Roster!$D243:$M243,V$1)&gt;0,$B243,0)</f>
        <v>0</v>
      </c>
      <c r="W243" s="2">
        <f>IF(COUNTIF(Roster!$D243:$M243,W$1)&gt;0,$B243,0)</f>
        <v>0</v>
      </c>
      <c r="X243" s="2">
        <f t="shared" si="3"/>
        <v>0</v>
      </c>
    </row>
    <row r="244" spans="1:24" ht="15" customHeight="1" x14ac:dyDescent="0.3">
      <c r="A244" s="2">
        <f>Roster!A244</f>
        <v>243</v>
      </c>
      <c r="B244" s="2">
        <f>Roster!C244</f>
        <v>0</v>
      </c>
      <c r="C244" s="2">
        <f>IF(COUNTIF(Roster!$D244:$M244,C$1)&gt;0,$B244,0)</f>
        <v>0</v>
      </c>
      <c r="D244" s="2">
        <f>IF(COUNTIF(Roster!$D244:$M244,D$1)&gt;0,$B244,0)</f>
        <v>0</v>
      </c>
      <c r="E244" s="2">
        <f>IF(COUNTIF(Roster!$D244:$M244,E$1)&gt;0,$B244,0)</f>
        <v>0</v>
      </c>
      <c r="F244" s="2">
        <f>IF(COUNTIF(Roster!$D244:$M244,F$1)&gt;0,$B244,0)</f>
        <v>0</v>
      </c>
      <c r="G244" s="2">
        <f>IF(COUNTIF(Roster!$D244:$M244,G$1)&gt;0,$B244,0)</f>
        <v>0</v>
      </c>
      <c r="H244" s="2">
        <f>IF(COUNTIF(Roster!$D244:$M244,H$1)&gt;0,$B244,0)</f>
        <v>0</v>
      </c>
      <c r="I244" s="2">
        <f>IF(COUNTIF(Roster!$D244:$M244,I$1)&gt;0,$B244,0)</f>
        <v>0</v>
      </c>
      <c r="J244" s="2">
        <f>IF(COUNTIF(Roster!$D244:$M244,J$1)&gt;0,$B244,0)</f>
        <v>0</v>
      </c>
      <c r="K244" s="2">
        <f>IF(COUNTIF(Roster!$D244:$M244,K$1)&gt;0,$B244,0)</f>
        <v>0</v>
      </c>
      <c r="L244" s="2">
        <f>IF(COUNTIF(Roster!$D244:$M244,L$1)&gt;0,$B244,0)</f>
        <v>0</v>
      </c>
      <c r="M244" s="2">
        <f>IF(COUNTIF(Roster!$D244:$M244,M$1)&gt;0,$B244,0)</f>
        <v>0</v>
      </c>
      <c r="N244" s="2">
        <f>IF(COUNTIF(Roster!$D244:$M244,N$1)&gt;0,$B244,0)</f>
        <v>0</v>
      </c>
      <c r="O244" s="2">
        <f>IF(COUNTIF(Roster!$D244:$M244,O$1)&gt;0,$B244,0)</f>
        <v>0</v>
      </c>
      <c r="P244" s="2">
        <f>IF(COUNTIF(Roster!$D244:$M244,P$1)&gt;0,$B244,0)</f>
        <v>0</v>
      </c>
      <c r="Q244" s="2">
        <f>IF(COUNTIF(Roster!$D244:$M244,Q$1)&gt;0,$B244,0)</f>
        <v>0</v>
      </c>
      <c r="R244" s="2">
        <f>IF(COUNTIF(Roster!$D244:$M244,R$1)&gt;0,$B244,0)</f>
        <v>0</v>
      </c>
      <c r="S244" s="2">
        <f>IF(COUNTIF(Roster!$D244:$M244,S$1)&gt;0,$B244,0)</f>
        <v>0</v>
      </c>
      <c r="T244" s="2">
        <f>IF(COUNTIF(Roster!$D244:$M244,T$1)&gt;0,$B244,0)</f>
        <v>0</v>
      </c>
      <c r="U244" s="2">
        <f>IF(COUNTIF(Roster!$D244:$M244,U$1)&gt;0,$B244,0)</f>
        <v>0</v>
      </c>
      <c r="V244" s="2">
        <f>IF(COUNTIF(Roster!$D244:$M244,V$1)&gt;0,$B244,0)</f>
        <v>0</v>
      </c>
      <c r="W244" s="2">
        <f>IF(COUNTIF(Roster!$D244:$M244,W$1)&gt;0,$B244,0)</f>
        <v>0</v>
      </c>
      <c r="X244" s="2">
        <f t="shared" si="3"/>
        <v>0</v>
      </c>
    </row>
    <row r="245" spans="1:24" ht="15" customHeight="1" x14ac:dyDescent="0.3">
      <c r="A245" s="2">
        <f>Roster!A245</f>
        <v>244</v>
      </c>
      <c r="B245" s="2">
        <f>Roster!C245</f>
        <v>0</v>
      </c>
      <c r="C245" s="2">
        <f>IF(COUNTIF(Roster!$D245:$M245,C$1)&gt;0,$B245,0)</f>
        <v>0</v>
      </c>
      <c r="D245" s="2">
        <f>IF(COUNTIF(Roster!$D245:$M245,D$1)&gt;0,$B245,0)</f>
        <v>0</v>
      </c>
      <c r="E245" s="2">
        <f>IF(COUNTIF(Roster!$D245:$M245,E$1)&gt;0,$B245,0)</f>
        <v>0</v>
      </c>
      <c r="F245" s="2">
        <f>IF(COUNTIF(Roster!$D245:$M245,F$1)&gt;0,$B245,0)</f>
        <v>0</v>
      </c>
      <c r="G245" s="2">
        <f>IF(COUNTIF(Roster!$D245:$M245,G$1)&gt;0,$B245,0)</f>
        <v>0</v>
      </c>
      <c r="H245" s="2">
        <f>IF(COUNTIF(Roster!$D245:$M245,H$1)&gt;0,$B245,0)</f>
        <v>0</v>
      </c>
      <c r="I245" s="2">
        <f>IF(COUNTIF(Roster!$D245:$M245,I$1)&gt;0,$B245,0)</f>
        <v>0</v>
      </c>
      <c r="J245" s="2">
        <f>IF(COUNTIF(Roster!$D245:$M245,J$1)&gt;0,$B245,0)</f>
        <v>0</v>
      </c>
      <c r="K245" s="2">
        <f>IF(COUNTIF(Roster!$D245:$M245,K$1)&gt;0,$B245,0)</f>
        <v>0</v>
      </c>
      <c r="L245" s="2">
        <f>IF(COUNTIF(Roster!$D245:$M245,L$1)&gt;0,$B245,0)</f>
        <v>0</v>
      </c>
      <c r="M245" s="2">
        <f>IF(COUNTIF(Roster!$D245:$M245,M$1)&gt;0,$B245,0)</f>
        <v>0</v>
      </c>
      <c r="N245" s="2">
        <f>IF(COUNTIF(Roster!$D245:$M245,N$1)&gt;0,$B245,0)</f>
        <v>0</v>
      </c>
      <c r="O245" s="2">
        <f>IF(COUNTIF(Roster!$D245:$M245,O$1)&gt;0,$B245,0)</f>
        <v>0</v>
      </c>
      <c r="P245" s="2">
        <f>IF(COUNTIF(Roster!$D245:$M245,P$1)&gt;0,$B245,0)</f>
        <v>0</v>
      </c>
      <c r="Q245" s="2">
        <f>IF(COUNTIF(Roster!$D245:$M245,Q$1)&gt;0,$B245,0)</f>
        <v>0</v>
      </c>
      <c r="R245" s="2">
        <f>IF(COUNTIF(Roster!$D245:$M245,R$1)&gt;0,$B245,0)</f>
        <v>0</v>
      </c>
      <c r="S245" s="2">
        <f>IF(COUNTIF(Roster!$D245:$M245,S$1)&gt;0,$B245,0)</f>
        <v>0</v>
      </c>
      <c r="T245" s="2">
        <f>IF(COUNTIF(Roster!$D245:$M245,T$1)&gt;0,$B245,0)</f>
        <v>0</v>
      </c>
      <c r="U245" s="2">
        <f>IF(COUNTIF(Roster!$D245:$M245,U$1)&gt;0,$B245,0)</f>
        <v>0</v>
      </c>
      <c r="V245" s="2">
        <f>IF(COUNTIF(Roster!$D245:$M245,V$1)&gt;0,$B245,0)</f>
        <v>0</v>
      </c>
      <c r="W245" s="2">
        <f>IF(COUNTIF(Roster!$D245:$M245,W$1)&gt;0,$B245,0)</f>
        <v>0</v>
      </c>
      <c r="X245" s="2">
        <f t="shared" si="3"/>
        <v>0</v>
      </c>
    </row>
    <row r="246" spans="1:24" ht="15" customHeight="1" x14ac:dyDescent="0.3">
      <c r="A246" s="2">
        <f>Roster!A246</f>
        <v>245</v>
      </c>
      <c r="B246" s="2">
        <f>Roster!C246</f>
        <v>0</v>
      </c>
      <c r="C246" s="2">
        <f>IF(COUNTIF(Roster!$D246:$M246,C$1)&gt;0,$B246,0)</f>
        <v>0</v>
      </c>
      <c r="D246" s="2">
        <f>IF(COUNTIF(Roster!$D246:$M246,D$1)&gt;0,$B246,0)</f>
        <v>0</v>
      </c>
      <c r="E246" s="2">
        <f>IF(COUNTIF(Roster!$D246:$M246,E$1)&gt;0,$B246,0)</f>
        <v>0</v>
      </c>
      <c r="F246" s="2">
        <f>IF(COUNTIF(Roster!$D246:$M246,F$1)&gt;0,$B246,0)</f>
        <v>0</v>
      </c>
      <c r="G246" s="2">
        <f>IF(COUNTIF(Roster!$D246:$M246,G$1)&gt;0,$B246,0)</f>
        <v>0</v>
      </c>
      <c r="H246" s="2">
        <f>IF(COUNTIF(Roster!$D246:$M246,H$1)&gt;0,$B246,0)</f>
        <v>0</v>
      </c>
      <c r="I246" s="2">
        <f>IF(COUNTIF(Roster!$D246:$M246,I$1)&gt;0,$B246,0)</f>
        <v>0</v>
      </c>
      <c r="J246" s="2">
        <f>IF(COUNTIF(Roster!$D246:$M246,J$1)&gt;0,$B246,0)</f>
        <v>0</v>
      </c>
      <c r="K246" s="2">
        <f>IF(COUNTIF(Roster!$D246:$M246,K$1)&gt;0,$B246,0)</f>
        <v>0</v>
      </c>
      <c r="L246" s="2">
        <f>IF(COUNTIF(Roster!$D246:$M246,L$1)&gt;0,$B246,0)</f>
        <v>0</v>
      </c>
      <c r="M246" s="2">
        <f>IF(COUNTIF(Roster!$D246:$M246,M$1)&gt;0,$B246,0)</f>
        <v>0</v>
      </c>
      <c r="N246" s="2">
        <f>IF(COUNTIF(Roster!$D246:$M246,N$1)&gt;0,$B246,0)</f>
        <v>0</v>
      </c>
      <c r="O246" s="2">
        <f>IF(COUNTIF(Roster!$D246:$M246,O$1)&gt;0,$B246,0)</f>
        <v>0</v>
      </c>
      <c r="P246" s="2">
        <f>IF(COUNTIF(Roster!$D246:$M246,P$1)&gt;0,$B246,0)</f>
        <v>0</v>
      </c>
      <c r="Q246" s="2">
        <f>IF(COUNTIF(Roster!$D246:$M246,Q$1)&gt;0,$B246,0)</f>
        <v>0</v>
      </c>
      <c r="R246" s="2">
        <f>IF(COUNTIF(Roster!$D246:$M246,R$1)&gt;0,$B246,0)</f>
        <v>0</v>
      </c>
      <c r="S246" s="2">
        <f>IF(COUNTIF(Roster!$D246:$M246,S$1)&gt;0,$B246,0)</f>
        <v>0</v>
      </c>
      <c r="T246" s="2">
        <f>IF(COUNTIF(Roster!$D246:$M246,T$1)&gt;0,$B246,0)</f>
        <v>0</v>
      </c>
      <c r="U246" s="2">
        <f>IF(COUNTIF(Roster!$D246:$M246,U$1)&gt;0,$B246,0)</f>
        <v>0</v>
      </c>
      <c r="V246" s="2">
        <f>IF(COUNTIF(Roster!$D246:$M246,V$1)&gt;0,$B246,0)</f>
        <v>0</v>
      </c>
      <c r="W246" s="2">
        <f>IF(COUNTIF(Roster!$D246:$M246,W$1)&gt;0,$B246,0)</f>
        <v>0</v>
      </c>
      <c r="X246" s="2">
        <f t="shared" si="3"/>
        <v>0</v>
      </c>
    </row>
    <row r="247" spans="1:24" ht="15" customHeight="1" x14ac:dyDescent="0.3">
      <c r="A247" s="2">
        <f>Roster!A247</f>
        <v>246</v>
      </c>
      <c r="B247" s="2">
        <f>Roster!C247</f>
        <v>0</v>
      </c>
      <c r="C247" s="2">
        <f>IF(COUNTIF(Roster!$D247:$M247,C$1)&gt;0,$B247,0)</f>
        <v>0</v>
      </c>
      <c r="D247" s="2">
        <f>IF(COUNTIF(Roster!$D247:$M247,D$1)&gt;0,$B247,0)</f>
        <v>0</v>
      </c>
      <c r="E247" s="2">
        <f>IF(COUNTIF(Roster!$D247:$M247,E$1)&gt;0,$B247,0)</f>
        <v>0</v>
      </c>
      <c r="F247" s="2">
        <f>IF(COUNTIF(Roster!$D247:$M247,F$1)&gt;0,$B247,0)</f>
        <v>0</v>
      </c>
      <c r="G247" s="2">
        <f>IF(COUNTIF(Roster!$D247:$M247,G$1)&gt;0,$B247,0)</f>
        <v>0</v>
      </c>
      <c r="H247" s="2">
        <f>IF(COUNTIF(Roster!$D247:$M247,H$1)&gt;0,$B247,0)</f>
        <v>0</v>
      </c>
      <c r="I247" s="2">
        <f>IF(COUNTIF(Roster!$D247:$M247,I$1)&gt;0,$B247,0)</f>
        <v>0</v>
      </c>
      <c r="J247" s="2">
        <f>IF(COUNTIF(Roster!$D247:$M247,J$1)&gt;0,$B247,0)</f>
        <v>0</v>
      </c>
      <c r="K247" s="2">
        <f>IF(COUNTIF(Roster!$D247:$M247,K$1)&gt;0,$B247,0)</f>
        <v>0</v>
      </c>
      <c r="L247" s="2">
        <f>IF(COUNTIF(Roster!$D247:$M247,L$1)&gt;0,$B247,0)</f>
        <v>0</v>
      </c>
      <c r="M247" s="2">
        <f>IF(COUNTIF(Roster!$D247:$M247,M$1)&gt;0,$B247,0)</f>
        <v>0</v>
      </c>
      <c r="N247" s="2">
        <f>IF(COUNTIF(Roster!$D247:$M247,N$1)&gt;0,$B247,0)</f>
        <v>0</v>
      </c>
      <c r="O247" s="2">
        <f>IF(COUNTIF(Roster!$D247:$M247,O$1)&gt;0,$B247,0)</f>
        <v>0</v>
      </c>
      <c r="P247" s="2">
        <f>IF(COUNTIF(Roster!$D247:$M247,P$1)&gt;0,$B247,0)</f>
        <v>0</v>
      </c>
      <c r="Q247" s="2">
        <f>IF(COUNTIF(Roster!$D247:$M247,Q$1)&gt;0,$B247,0)</f>
        <v>0</v>
      </c>
      <c r="R247" s="2">
        <f>IF(COUNTIF(Roster!$D247:$M247,R$1)&gt;0,$B247,0)</f>
        <v>0</v>
      </c>
      <c r="S247" s="2">
        <f>IF(COUNTIF(Roster!$D247:$M247,S$1)&gt;0,$B247,0)</f>
        <v>0</v>
      </c>
      <c r="T247" s="2">
        <f>IF(COUNTIF(Roster!$D247:$M247,T$1)&gt;0,$B247,0)</f>
        <v>0</v>
      </c>
      <c r="U247" s="2">
        <f>IF(COUNTIF(Roster!$D247:$M247,U$1)&gt;0,$B247,0)</f>
        <v>0</v>
      </c>
      <c r="V247" s="2">
        <f>IF(COUNTIF(Roster!$D247:$M247,V$1)&gt;0,$B247,0)</f>
        <v>0</v>
      </c>
      <c r="W247" s="2">
        <f>IF(COUNTIF(Roster!$D247:$M247,W$1)&gt;0,$B247,0)</f>
        <v>0</v>
      </c>
      <c r="X247" s="2">
        <f t="shared" si="3"/>
        <v>0</v>
      </c>
    </row>
    <row r="248" spans="1:24" ht="15" customHeight="1" x14ac:dyDescent="0.3">
      <c r="A248" s="2">
        <f>Roster!A248</f>
        <v>247</v>
      </c>
      <c r="B248" s="2">
        <f>Roster!C248</f>
        <v>0</v>
      </c>
      <c r="C248" s="2">
        <f>IF(COUNTIF(Roster!$D248:$M248,C$1)&gt;0,$B248,0)</f>
        <v>0</v>
      </c>
      <c r="D248" s="2">
        <f>IF(COUNTIF(Roster!$D248:$M248,D$1)&gt;0,$B248,0)</f>
        <v>0</v>
      </c>
      <c r="E248" s="2">
        <f>IF(COUNTIF(Roster!$D248:$M248,E$1)&gt;0,$B248,0)</f>
        <v>0</v>
      </c>
      <c r="F248" s="2">
        <f>IF(COUNTIF(Roster!$D248:$M248,F$1)&gt;0,$B248,0)</f>
        <v>0</v>
      </c>
      <c r="G248" s="2">
        <f>IF(COUNTIF(Roster!$D248:$M248,G$1)&gt;0,$B248,0)</f>
        <v>0</v>
      </c>
      <c r="H248" s="2">
        <f>IF(COUNTIF(Roster!$D248:$M248,H$1)&gt;0,$B248,0)</f>
        <v>0</v>
      </c>
      <c r="I248" s="2">
        <f>IF(COUNTIF(Roster!$D248:$M248,I$1)&gt;0,$B248,0)</f>
        <v>0</v>
      </c>
      <c r="J248" s="2">
        <f>IF(COUNTIF(Roster!$D248:$M248,J$1)&gt;0,$B248,0)</f>
        <v>0</v>
      </c>
      <c r="K248" s="2">
        <f>IF(COUNTIF(Roster!$D248:$M248,K$1)&gt;0,$B248,0)</f>
        <v>0</v>
      </c>
      <c r="L248" s="2">
        <f>IF(COUNTIF(Roster!$D248:$M248,L$1)&gt;0,$B248,0)</f>
        <v>0</v>
      </c>
      <c r="M248" s="2">
        <f>IF(COUNTIF(Roster!$D248:$M248,M$1)&gt;0,$B248,0)</f>
        <v>0</v>
      </c>
      <c r="N248" s="2">
        <f>IF(COUNTIF(Roster!$D248:$M248,N$1)&gt;0,$B248,0)</f>
        <v>0</v>
      </c>
      <c r="O248" s="2">
        <f>IF(COUNTIF(Roster!$D248:$M248,O$1)&gt;0,$B248,0)</f>
        <v>0</v>
      </c>
      <c r="P248" s="2">
        <f>IF(COUNTIF(Roster!$D248:$M248,P$1)&gt;0,$B248,0)</f>
        <v>0</v>
      </c>
      <c r="Q248" s="2">
        <f>IF(COUNTIF(Roster!$D248:$M248,Q$1)&gt;0,$B248,0)</f>
        <v>0</v>
      </c>
      <c r="R248" s="2">
        <f>IF(COUNTIF(Roster!$D248:$M248,R$1)&gt;0,$B248,0)</f>
        <v>0</v>
      </c>
      <c r="S248" s="2">
        <f>IF(COUNTIF(Roster!$D248:$M248,S$1)&gt;0,$B248,0)</f>
        <v>0</v>
      </c>
      <c r="T248" s="2">
        <f>IF(COUNTIF(Roster!$D248:$M248,T$1)&gt;0,$B248,0)</f>
        <v>0</v>
      </c>
      <c r="U248" s="2">
        <f>IF(COUNTIF(Roster!$D248:$M248,U$1)&gt;0,$B248,0)</f>
        <v>0</v>
      </c>
      <c r="V248" s="2">
        <f>IF(COUNTIF(Roster!$D248:$M248,V$1)&gt;0,$B248,0)</f>
        <v>0</v>
      </c>
      <c r="W248" s="2">
        <f>IF(COUNTIF(Roster!$D248:$M248,W$1)&gt;0,$B248,0)</f>
        <v>0</v>
      </c>
      <c r="X248" s="2">
        <f t="shared" si="3"/>
        <v>0</v>
      </c>
    </row>
    <row r="249" spans="1:24" ht="15" customHeight="1" x14ac:dyDescent="0.3">
      <c r="A249" s="2">
        <f>Roster!A249</f>
        <v>248</v>
      </c>
      <c r="B249" s="2">
        <f>Roster!C249</f>
        <v>0</v>
      </c>
      <c r="C249" s="2">
        <f>IF(COUNTIF(Roster!$D249:$M249,C$1)&gt;0,$B249,0)</f>
        <v>0</v>
      </c>
      <c r="D249" s="2">
        <f>IF(COUNTIF(Roster!$D249:$M249,D$1)&gt;0,$B249,0)</f>
        <v>0</v>
      </c>
      <c r="E249" s="2">
        <f>IF(COUNTIF(Roster!$D249:$M249,E$1)&gt;0,$B249,0)</f>
        <v>0</v>
      </c>
      <c r="F249" s="2">
        <f>IF(COUNTIF(Roster!$D249:$M249,F$1)&gt;0,$B249,0)</f>
        <v>0</v>
      </c>
      <c r="G249" s="2">
        <f>IF(COUNTIF(Roster!$D249:$M249,G$1)&gt;0,$B249,0)</f>
        <v>0</v>
      </c>
      <c r="H249" s="2">
        <f>IF(COUNTIF(Roster!$D249:$M249,H$1)&gt;0,$B249,0)</f>
        <v>0</v>
      </c>
      <c r="I249" s="2">
        <f>IF(COUNTIF(Roster!$D249:$M249,I$1)&gt;0,$B249,0)</f>
        <v>0</v>
      </c>
      <c r="J249" s="2">
        <f>IF(COUNTIF(Roster!$D249:$M249,J$1)&gt;0,$B249,0)</f>
        <v>0</v>
      </c>
      <c r="K249" s="2">
        <f>IF(COUNTIF(Roster!$D249:$M249,K$1)&gt;0,$B249,0)</f>
        <v>0</v>
      </c>
      <c r="L249" s="2">
        <f>IF(COUNTIF(Roster!$D249:$M249,L$1)&gt;0,$B249,0)</f>
        <v>0</v>
      </c>
      <c r="M249" s="2">
        <f>IF(COUNTIF(Roster!$D249:$M249,M$1)&gt;0,$B249,0)</f>
        <v>0</v>
      </c>
      <c r="N249" s="2">
        <f>IF(COUNTIF(Roster!$D249:$M249,N$1)&gt;0,$B249,0)</f>
        <v>0</v>
      </c>
      <c r="O249" s="2">
        <f>IF(COUNTIF(Roster!$D249:$M249,O$1)&gt;0,$B249,0)</f>
        <v>0</v>
      </c>
      <c r="P249" s="2">
        <f>IF(COUNTIF(Roster!$D249:$M249,P$1)&gt;0,$B249,0)</f>
        <v>0</v>
      </c>
      <c r="Q249" s="2">
        <f>IF(COUNTIF(Roster!$D249:$M249,Q$1)&gt;0,$B249,0)</f>
        <v>0</v>
      </c>
      <c r="R249" s="2">
        <f>IF(COUNTIF(Roster!$D249:$M249,R$1)&gt;0,$B249,0)</f>
        <v>0</v>
      </c>
      <c r="S249" s="2">
        <f>IF(COUNTIF(Roster!$D249:$M249,S$1)&gt;0,$B249,0)</f>
        <v>0</v>
      </c>
      <c r="T249" s="2">
        <f>IF(COUNTIF(Roster!$D249:$M249,T$1)&gt;0,$B249,0)</f>
        <v>0</v>
      </c>
      <c r="U249" s="2">
        <f>IF(COUNTIF(Roster!$D249:$M249,U$1)&gt;0,$B249,0)</f>
        <v>0</v>
      </c>
      <c r="V249" s="2">
        <f>IF(COUNTIF(Roster!$D249:$M249,V$1)&gt;0,$B249,0)</f>
        <v>0</v>
      </c>
      <c r="W249" s="2">
        <f>IF(COUNTIF(Roster!$D249:$M249,W$1)&gt;0,$B249,0)</f>
        <v>0</v>
      </c>
      <c r="X249" s="2">
        <f t="shared" si="3"/>
        <v>0</v>
      </c>
    </row>
    <row r="250" spans="1:24" ht="15" customHeight="1" x14ac:dyDescent="0.3">
      <c r="A250" s="2">
        <f>Roster!A250</f>
        <v>249</v>
      </c>
      <c r="B250" s="2">
        <f>Roster!C250</f>
        <v>0</v>
      </c>
      <c r="C250" s="2">
        <f>IF(COUNTIF(Roster!$D250:$M250,C$1)&gt;0,$B250,0)</f>
        <v>0</v>
      </c>
      <c r="D250" s="2">
        <f>IF(COUNTIF(Roster!$D250:$M250,D$1)&gt;0,$B250,0)</f>
        <v>0</v>
      </c>
      <c r="E250" s="2">
        <f>IF(COUNTIF(Roster!$D250:$M250,E$1)&gt;0,$B250,0)</f>
        <v>0</v>
      </c>
      <c r="F250" s="2">
        <f>IF(COUNTIF(Roster!$D250:$M250,F$1)&gt;0,$B250,0)</f>
        <v>0</v>
      </c>
      <c r="G250" s="2">
        <f>IF(COUNTIF(Roster!$D250:$M250,G$1)&gt;0,$B250,0)</f>
        <v>0</v>
      </c>
      <c r="H250" s="2">
        <f>IF(COUNTIF(Roster!$D250:$M250,H$1)&gt;0,$B250,0)</f>
        <v>0</v>
      </c>
      <c r="I250" s="2">
        <f>IF(COUNTIF(Roster!$D250:$M250,I$1)&gt;0,$B250,0)</f>
        <v>0</v>
      </c>
      <c r="J250" s="2">
        <f>IF(COUNTIF(Roster!$D250:$M250,J$1)&gt;0,$B250,0)</f>
        <v>0</v>
      </c>
      <c r="K250" s="2">
        <f>IF(COUNTIF(Roster!$D250:$M250,K$1)&gt;0,$B250,0)</f>
        <v>0</v>
      </c>
      <c r="L250" s="2">
        <f>IF(COUNTIF(Roster!$D250:$M250,L$1)&gt;0,$B250,0)</f>
        <v>0</v>
      </c>
      <c r="M250" s="2">
        <f>IF(COUNTIF(Roster!$D250:$M250,M$1)&gt;0,$B250,0)</f>
        <v>0</v>
      </c>
      <c r="N250" s="2">
        <f>IF(COUNTIF(Roster!$D250:$M250,N$1)&gt;0,$B250,0)</f>
        <v>0</v>
      </c>
      <c r="O250" s="2">
        <f>IF(COUNTIF(Roster!$D250:$M250,O$1)&gt;0,$B250,0)</f>
        <v>0</v>
      </c>
      <c r="P250" s="2">
        <f>IF(COUNTIF(Roster!$D250:$M250,P$1)&gt;0,$B250,0)</f>
        <v>0</v>
      </c>
      <c r="Q250" s="2">
        <f>IF(COUNTIF(Roster!$D250:$M250,Q$1)&gt;0,$B250,0)</f>
        <v>0</v>
      </c>
      <c r="R250" s="2">
        <f>IF(COUNTIF(Roster!$D250:$M250,R$1)&gt;0,$B250,0)</f>
        <v>0</v>
      </c>
      <c r="S250" s="2">
        <f>IF(COUNTIF(Roster!$D250:$M250,S$1)&gt;0,$B250,0)</f>
        <v>0</v>
      </c>
      <c r="T250" s="2">
        <f>IF(COUNTIF(Roster!$D250:$M250,T$1)&gt;0,$B250,0)</f>
        <v>0</v>
      </c>
      <c r="U250" s="2">
        <f>IF(COUNTIF(Roster!$D250:$M250,U$1)&gt;0,$B250,0)</f>
        <v>0</v>
      </c>
      <c r="V250" s="2">
        <f>IF(COUNTIF(Roster!$D250:$M250,V$1)&gt;0,$B250,0)</f>
        <v>0</v>
      </c>
      <c r="W250" s="2">
        <f>IF(COUNTIF(Roster!$D250:$M250,W$1)&gt;0,$B250,0)</f>
        <v>0</v>
      </c>
      <c r="X250" s="2">
        <f t="shared" si="3"/>
        <v>0</v>
      </c>
    </row>
    <row r="251" spans="1:24" ht="15" customHeight="1" x14ac:dyDescent="0.3">
      <c r="A251" s="2">
        <f>Roster!A251</f>
        <v>250</v>
      </c>
      <c r="B251" s="2">
        <f>Roster!C251</f>
        <v>0</v>
      </c>
      <c r="C251" s="2">
        <f>IF(COUNTIF(Roster!$D251:$M251,C$1)&gt;0,$B251,0)</f>
        <v>0</v>
      </c>
      <c r="D251" s="2">
        <f>IF(COUNTIF(Roster!$D251:$M251,D$1)&gt;0,$B251,0)</f>
        <v>0</v>
      </c>
      <c r="E251" s="2">
        <f>IF(COUNTIF(Roster!$D251:$M251,E$1)&gt;0,$B251,0)</f>
        <v>0</v>
      </c>
      <c r="F251" s="2">
        <f>IF(COUNTIF(Roster!$D251:$M251,F$1)&gt;0,$B251,0)</f>
        <v>0</v>
      </c>
      <c r="G251" s="2">
        <f>IF(COUNTIF(Roster!$D251:$M251,G$1)&gt;0,$B251,0)</f>
        <v>0</v>
      </c>
      <c r="H251" s="2">
        <f>IF(COUNTIF(Roster!$D251:$M251,H$1)&gt;0,$B251,0)</f>
        <v>0</v>
      </c>
      <c r="I251" s="2">
        <f>IF(COUNTIF(Roster!$D251:$M251,I$1)&gt;0,$B251,0)</f>
        <v>0</v>
      </c>
      <c r="J251" s="2">
        <f>IF(COUNTIF(Roster!$D251:$M251,J$1)&gt;0,$B251,0)</f>
        <v>0</v>
      </c>
      <c r="K251" s="2">
        <f>IF(COUNTIF(Roster!$D251:$M251,K$1)&gt;0,$B251,0)</f>
        <v>0</v>
      </c>
      <c r="L251" s="2">
        <f>IF(COUNTIF(Roster!$D251:$M251,L$1)&gt;0,$B251,0)</f>
        <v>0</v>
      </c>
      <c r="M251" s="2">
        <f>IF(COUNTIF(Roster!$D251:$M251,M$1)&gt;0,$B251,0)</f>
        <v>0</v>
      </c>
      <c r="N251" s="2">
        <f>IF(COUNTIF(Roster!$D251:$M251,N$1)&gt;0,$B251,0)</f>
        <v>0</v>
      </c>
      <c r="O251" s="2">
        <f>IF(COUNTIF(Roster!$D251:$M251,O$1)&gt;0,$B251,0)</f>
        <v>0</v>
      </c>
      <c r="P251" s="2">
        <f>IF(COUNTIF(Roster!$D251:$M251,P$1)&gt;0,$B251,0)</f>
        <v>0</v>
      </c>
      <c r="Q251" s="2">
        <f>IF(COUNTIF(Roster!$D251:$M251,Q$1)&gt;0,$B251,0)</f>
        <v>0</v>
      </c>
      <c r="R251" s="2">
        <f>IF(COUNTIF(Roster!$D251:$M251,R$1)&gt;0,$B251,0)</f>
        <v>0</v>
      </c>
      <c r="S251" s="2">
        <f>IF(COUNTIF(Roster!$D251:$M251,S$1)&gt;0,$B251,0)</f>
        <v>0</v>
      </c>
      <c r="T251" s="2">
        <f>IF(COUNTIF(Roster!$D251:$M251,T$1)&gt;0,$B251,0)</f>
        <v>0</v>
      </c>
      <c r="U251" s="2">
        <f>IF(COUNTIF(Roster!$D251:$M251,U$1)&gt;0,$B251,0)</f>
        <v>0</v>
      </c>
      <c r="V251" s="2">
        <f>IF(COUNTIF(Roster!$D251:$M251,V$1)&gt;0,$B251,0)</f>
        <v>0</v>
      </c>
      <c r="W251" s="2">
        <f>IF(COUNTIF(Roster!$D251:$M251,W$1)&gt;0,$B251,0)</f>
        <v>0</v>
      </c>
      <c r="X251" s="2">
        <f t="shared" si="3"/>
        <v>0</v>
      </c>
    </row>
    <row r="252" spans="1:24" ht="15" customHeight="1" x14ac:dyDescent="0.3">
      <c r="A252" s="2">
        <f>Roster!A252</f>
        <v>251</v>
      </c>
      <c r="B252" s="2">
        <f>Roster!C252</f>
        <v>0</v>
      </c>
      <c r="C252" s="2">
        <f>IF(COUNTIF(Roster!$D252:$M252,C$1)&gt;0,$B252,0)</f>
        <v>0</v>
      </c>
      <c r="D252" s="2">
        <f>IF(COUNTIF(Roster!$D252:$M252,D$1)&gt;0,$B252,0)</f>
        <v>0</v>
      </c>
      <c r="E252" s="2">
        <f>IF(COUNTIF(Roster!$D252:$M252,E$1)&gt;0,$B252,0)</f>
        <v>0</v>
      </c>
      <c r="F252" s="2">
        <f>IF(COUNTIF(Roster!$D252:$M252,F$1)&gt;0,$B252,0)</f>
        <v>0</v>
      </c>
      <c r="G252" s="2">
        <f>IF(COUNTIF(Roster!$D252:$M252,G$1)&gt;0,$B252,0)</f>
        <v>0</v>
      </c>
      <c r="H252" s="2">
        <f>IF(COUNTIF(Roster!$D252:$M252,H$1)&gt;0,$B252,0)</f>
        <v>0</v>
      </c>
      <c r="I252" s="2">
        <f>IF(COUNTIF(Roster!$D252:$M252,I$1)&gt;0,$B252,0)</f>
        <v>0</v>
      </c>
      <c r="J252" s="2">
        <f>IF(COUNTIF(Roster!$D252:$M252,J$1)&gt;0,$B252,0)</f>
        <v>0</v>
      </c>
      <c r="K252" s="2">
        <f>IF(COUNTIF(Roster!$D252:$M252,K$1)&gt;0,$B252,0)</f>
        <v>0</v>
      </c>
      <c r="L252" s="2">
        <f>IF(COUNTIF(Roster!$D252:$M252,L$1)&gt;0,$B252,0)</f>
        <v>0</v>
      </c>
      <c r="M252" s="2">
        <f>IF(COUNTIF(Roster!$D252:$M252,M$1)&gt;0,$B252,0)</f>
        <v>0</v>
      </c>
      <c r="N252" s="2">
        <f>IF(COUNTIF(Roster!$D252:$M252,N$1)&gt;0,$B252,0)</f>
        <v>0</v>
      </c>
      <c r="O252" s="2">
        <f>IF(COUNTIF(Roster!$D252:$M252,O$1)&gt;0,$B252,0)</f>
        <v>0</v>
      </c>
      <c r="P252" s="2">
        <f>IF(COUNTIF(Roster!$D252:$M252,P$1)&gt;0,$B252,0)</f>
        <v>0</v>
      </c>
      <c r="Q252" s="2">
        <f>IF(COUNTIF(Roster!$D252:$M252,Q$1)&gt;0,$B252,0)</f>
        <v>0</v>
      </c>
      <c r="R252" s="2">
        <f>IF(COUNTIF(Roster!$D252:$M252,R$1)&gt;0,$B252,0)</f>
        <v>0</v>
      </c>
      <c r="S252" s="2">
        <f>IF(COUNTIF(Roster!$D252:$M252,S$1)&gt;0,$B252,0)</f>
        <v>0</v>
      </c>
      <c r="T252" s="2">
        <f>IF(COUNTIF(Roster!$D252:$M252,T$1)&gt;0,$B252,0)</f>
        <v>0</v>
      </c>
      <c r="U252" s="2">
        <f>IF(COUNTIF(Roster!$D252:$M252,U$1)&gt;0,$B252,0)</f>
        <v>0</v>
      </c>
      <c r="V252" s="2">
        <f>IF(COUNTIF(Roster!$D252:$M252,V$1)&gt;0,$B252,0)</f>
        <v>0</v>
      </c>
      <c r="W252" s="2">
        <f>IF(COUNTIF(Roster!$D252:$M252,W$1)&gt;0,$B252,0)</f>
        <v>0</v>
      </c>
      <c r="X252" s="2">
        <f t="shared" si="3"/>
        <v>0</v>
      </c>
    </row>
    <row r="253" spans="1:24" ht="15" customHeight="1" x14ac:dyDescent="0.3">
      <c r="A253" s="2">
        <f>Roster!A253</f>
        <v>252</v>
      </c>
      <c r="B253" s="2">
        <f>Roster!C253</f>
        <v>0</v>
      </c>
      <c r="C253" s="2">
        <f>IF(COUNTIF(Roster!$D253:$M253,C$1)&gt;0,$B253,0)</f>
        <v>0</v>
      </c>
      <c r="D253" s="2">
        <f>IF(COUNTIF(Roster!$D253:$M253,D$1)&gt;0,$B253,0)</f>
        <v>0</v>
      </c>
      <c r="E253" s="2">
        <f>IF(COUNTIF(Roster!$D253:$M253,E$1)&gt;0,$B253,0)</f>
        <v>0</v>
      </c>
      <c r="F253" s="2">
        <f>IF(COUNTIF(Roster!$D253:$M253,F$1)&gt;0,$B253,0)</f>
        <v>0</v>
      </c>
      <c r="G253" s="2">
        <f>IF(COUNTIF(Roster!$D253:$M253,G$1)&gt;0,$B253,0)</f>
        <v>0</v>
      </c>
      <c r="H253" s="2">
        <f>IF(COUNTIF(Roster!$D253:$M253,H$1)&gt;0,$B253,0)</f>
        <v>0</v>
      </c>
      <c r="I253" s="2">
        <f>IF(COUNTIF(Roster!$D253:$M253,I$1)&gt;0,$B253,0)</f>
        <v>0</v>
      </c>
      <c r="J253" s="2">
        <f>IF(COUNTIF(Roster!$D253:$M253,J$1)&gt;0,$B253,0)</f>
        <v>0</v>
      </c>
      <c r="K253" s="2">
        <f>IF(COUNTIF(Roster!$D253:$M253,K$1)&gt;0,$B253,0)</f>
        <v>0</v>
      </c>
      <c r="L253" s="2">
        <f>IF(COUNTIF(Roster!$D253:$M253,L$1)&gt;0,$B253,0)</f>
        <v>0</v>
      </c>
      <c r="M253" s="2">
        <f>IF(COUNTIF(Roster!$D253:$M253,M$1)&gt;0,$B253,0)</f>
        <v>0</v>
      </c>
      <c r="N253" s="2">
        <f>IF(COUNTIF(Roster!$D253:$M253,N$1)&gt;0,$B253,0)</f>
        <v>0</v>
      </c>
      <c r="O253" s="2">
        <f>IF(COUNTIF(Roster!$D253:$M253,O$1)&gt;0,$B253,0)</f>
        <v>0</v>
      </c>
      <c r="P253" s="2">
        <f>IF(COUNTIF(Roster!$D253:$M253,P$1)&gt;0,$B253,0)</f>
        <v>0</v>
      </c>
      <c r="Q253" s="2">
        <f>IF(COUNTIF(Roster!$D253:$M253,Q$1)&gt;0,$B253,0)</f>
        <v>0</v>
      </c>
      <c r="R253" s="2">
        <f>IF(COUNTIF(Roster!$D253:$M253,R$1)&gt;0,$B253,0)</f>
        <v>0</v>
      </c>
      <c r="S253" s="2">
        <f>IF(COUNTIF(Roster!$D253:$M253,S$1)&gt;0,$B253,0)</f>
        <v>0</v>
      </c>
      <c r="T253" s="2">
        <f>IF(COUNTIF(Roster!$D253:$M253,T$1)&gt;0,$B253,0)</f>
        <v>0</v>
      </c>
      <c r="U253" s="2">
        <f>IF(COUNTIF(Roster!$D253:$M253,U$1)&gt;0,$B253,0)</f>
        <v>0</v>
      </c>
      <c r="V253" s="2">
        <f>IF(COUNTIF(Roster!$D253:$M253,V$1)&gt;0,$B253,0)</f>
        <v>0</v>
      </c>
      <c r="W253" s="2">
        <f>IF(COUNTIF(Roster!$D253:$M253,W$1)&gt;0,$B253,0)</f>
        <v>0</v>
      </c>
      <c r="X253" s="2">
        <f t="shared" si="3"/>
        <v>0</v>
      </c>
    </row>
    <row r="254" spans="1:24" ht="15" customHeight="1" x14ac:dyDescent="0.3">
      <c r="A254" s="2">
        <f>Roster!A254</f>
        <v>253</v>
      </c>
      <c r="B254" s="2">
        <f>Roster!C254</f>
        <v>0</v>
      </c>
      <c r="C254" s="2">
        <f>IF(COUNTIF(Roster!$D254:$M254,C$1)&gt;0,$B254,0)</f>
        <v>0</v>
      </c>
      <c r="D254" s="2">
        <f>IF(COUNTIF(Roster!$D254:$M254,D$1)&gt;0,$B254,0)</f>
        <v>0</v>
      </c>
      <c r="E254" s="2">
        <f>IF(COUNTIF(Roster!$D254:$M254,E$1)&gt;0,$B254,0)</f>
        <v>0</v>
      </c>
      <c r="F254" s="2">
        <f>IF(COUNTIF(Roster!$D254:$M254,F$1)&gt;0,$B254,0)</f>
        <v>0</v>
      </c>
      <c r="G254" s="2">
        <f>IF(COUNTIF(Roster!$D254:$M254,G$1)&gt;0,$B254,0)</f>
        <v>0</v>
      </c>
      <c r="H254" s="2">
        <f>IF(COUNTIF(Roster!$D254:$M254,H$1)&gt;0,$B254,0)</f>
        <v>0</v>
      </c>
      <c r="I254" s="2">
        <f>IF(COUNTIF(Roster!$D254:$M254,I$1)&gt;0,$B254,0)</f>
        <v>0</v>
      </c>
      <c r="J254" s="2">
        <f>IF(COUNTIF(Roster!$D254:$M254,J$1)&gt;0,$B254,0)</f>
        <v>0</v>
      </c>
      <c r="K254" s="2">
        <f>IF(COUNTIF(Roster!$D254:$M254,K$1)&gt;0,$B254,0)</f>
        <v>0</v>
      </c>
      <c r="L254" s="2">
        <f>IF(COUNTIF(Roster!$D254:$M254,L$1)&gt;0,$B254,0)</f>
        <v>0</v>
      </c>
      <c r="M254" s="2">
        <f>IF(COUNTIF(Roster!$D254:$M254,M$1)&gt;0,$B254,0)</f>
        <v>0</v>
      </c>
      <c r="N254" s="2">
        <f>IF(COUNTIF(Roster!$D254:$M254,N$1)&gt;0,$B254,0)</f>
        <v>0</v>
      </c>
      <c r="O254" s="2">
        <f>IF(COUNTIF(Roster!$D254:$M254,O$1)&gt;0,$B254,0)</f>
        <v>0</v>
      </c>
      <c r="P254" s="2">
        <f>IF(COUNTIF(Roster!$D254:$M254,P$1)&gt;0,$B254,0)</f>
        <v>0</v>
      </c>
      <c r="Q254" s="2">
        <f>IF(COUNTIF(Roster!$D254:$M254,Q$1)&gt;0,$B254,0)</f>
        <v>0</v>
      </c>
      <c r="R254" s="2">
        <f>IF(COUNTIF(Roster!$D254:$M254,R$1)&gt;0,$B254,0)</f>
        <v>0</v>
      </c>
      <c r="S254" s="2">
        <f>IF(COUNTIF(Roster!$D254:$M254,S$1)&gt;0,$B254,0)</f>
        <v>0</v>
      </c>
      <c r="T254" s="2">
        <f>IF(COUNTIF(Roster!$D254:$M254,T$1)&gt;0,$B254,0)</f>
        <v>0</v>
      </c>
      <c r="U254" s="2">
        <f>IF(COUNTIF(Roster!$D254:$M254,U$1)&gt;0,$B254,0)</f>
        <v>0</v>
      </c>
      <c r="V254" s="2">
        <f>IF(COUNTIF(Roster!$D254:$M254,V$1)&gt;0,$B254,0)</f>
        <v>0</v>
      </c>
      <c r="W254" s="2">
        <f>IF(COUNTIF(Roster!$D254:$M254,W$1)&gt;0,$B254,0)</f>
        <v>0</v>
      </c>
      <c r="X254" s="2">
        <f t="shared" si="3"/>
        <v>0</v>
      </c>
    </row>
    <row r="255" spans="1:24" ht="15" customHeight="1" x14ac:dyDescent="0.3">
      <c r="A255" s="2">
        <f>Roster!A255</f>
        <v>254</v>
      </c>
      <c r="B255" s="2">
        <f>Roster!C255</f>
        <v>0</v>
      </c>
      <c r="C255" s="2">
        <f>IF(COUNTIF(Roster!$D255:$M255,C$1)&gt;0,$B255,0)</f>
        <v>0</v>
      </c>
      <c r="D255" s="2">
        <f>IF(COUNTIF(Roster!$D255:$M255,D$1)&gt;0,$B255,0)</f>
        <v>0</v>
      </c>
      <c r="E255" s="2">
        <f>IF(COUNTIF(Roster!$D255:$M255,E$1)&gt;0,$B255,0)</f>
        <v>0</v>
      </c>
      <c r="F255" s="2">
        <f>IF(COUNTIF(Roster!$D255:$M255,F$1)&gt;0,$B255,0)</f>
        <v>0</v>
      </c>
      <c r="G255" s="2">
        <f>IF(COUNTIF(Roster!$D255:$M255,G$1)&gt;0,$B255,0)</f>
        <v>0</v>
      </c>
      <c r="H255" s="2">
        <f>IF(COUNTIF(Roster!$D255:$M255,H$1)&gt;0,$B255,0)</f>
        <v>0</v>
      </c>
      <c r="I255" s="2">
        <f>IF(COUNTIF(Roster!$D255:$M255,I$1)&gt;0,$B255,0)</f>
        <v>0</v>
      </c>
      <c r="J255" s="2">
        <f>IF(COUNTIF(Roster!$D255:$M255,J$1)&gt;0,$B255,0)</f>
        <v>0</v>
      </c>
      <c r="K255" s="2">
        <f>IF(COUNTIF(Roster!$D255:$M255,K$1)&gt;0,$B255,0)</f>
        <v>0</v>
      </c>
      <c r="L255" s="2">
        <f>IF(COUNTIF(Roster!$D255:$M255,L$1)&gt;0,$B255,0)</f>
        <v>0</v>
      </c>
      <c r="M255" s="2">
        <f>IF(COUNTIF(Roster!$D255:$M255,M$1)&gt;0,$B255,0)</f>
        <v>0</v>
      </c>
      <c r="N255" s="2">
        <f>IF(COUNTIF(Roster!$D255:$M255,N$1)&gt;0,$B255,0)</f>
        <v>0</v>
      </c>
      <c r="O255" s="2">
        <f>IF(COUNTIF(Roster!$D255:$M255,O$1)&gt;0,$B255,0)</f>
        <v>0</v>
      </c>
      <c r="P255" s="2">
        <f>IF(COUNTIF(Roster!$D255:$M255,P$1)&gt;0,$B255,0)</f>
        <v>0</v>
      </c>
      <c r="Q255" s="2">
        <f>IF(COUNTIF(Roster!$D255:$M255,Q$1)&gt;0,$B255,0)</f>
        <v>0</v>
      </c>
      <c r="R255" s="2">
        <f>IF(COUNTIF(Roster!$D255:$M255,R$1)&gt;0,$B255,0)</f>
        <v>0</v>
      </c>
      <c r="S255" s="2">
        <f>IF(COUNTIF(Roster!$D255:$M255,S$1)&gt;0,$B255,0)</f>
        <v>0</v>
      </c>
      <c r="T255" s="2">
        <f>IF(COUNTIF(Roster!$D255:$M255,T$1)&gt;0,$B255,0)</f>
        <v>0</v>
      </c>
      <c r="U255" s="2">
        <f>IF(COUNTIF(Roster!$D255:$M255,U$1)&gt;0,$B255,0)</f>
        <v>0</v>
      </c>
      <c r="V255" s="2">
        <f>IF(COUNTIF(Roster!$D255:$M255,V$1)&gt;0,$B255,0)</f>
        <v>0</v>
      </c>
      <c r="W255" s="2">
        <f>IF(COUNTIF(Roster!$D255:$M255,W$1)&gt;0,$B255,0)</f>
        <v>0</v>
      </c>
      <c r="X255" s="2">
        <f t="shared" si="3"/>
        <v>0</v>
      </c>
    </row>
    <row r="256" spans="1:24" ht="15" customHeight="1" x14ac:dyDescent="0.3">
      <c r="A256" s="2">
        <f>Roster!A256</f>
        <v>255</v>
      </c>
      <c r="B256" s="2">
        <f>Roster!C256</f>
        <v>0</v>
      </c>
      <c r="C256" s="2">
        <f>IF(COUNTIF(Roster!$D256:$M256,C$1)&gt;0,$B256,0)</f>
        <v>0</v>
      </c>
      <c r="D256" s="2">
        <f>IF(COUNTIF(Roster!$D256:$M256,D$1)&gt;0,$B256,0)</f>
        <v>0</v>
      </c>
      <c r="E256" s="2">
        <f>IF(COUNTIF(Roster!$D256:$M256,E$1)&gt;0,$B256,0)</f>
        <v>0</v>
      </c>
      <c r="F256" s="2">
        <f>IF(COUNTIF(Roster!$D256:$M256,F$1)&gt;0,$B256,0)</f>
        <v>0</v>
      </c>
      <c r="G256" s="2">
        <f>IF(COUNTIF(Roster!$D256:$M256,G$1)&gt;0,$B256,0)</f>
        <v>0</v>
      </c>
      <c r="H256" s="2">
        <f>IF(COUNTIF(Roster!$D256:$M256,H$1)&gt;0,$B256,0)</f>
        <v>0</v>
      </c>
      <c r="I256" s="2">
        <f>IF(COUNTIF(Roster!$D256:$M256,I$1)&gt;0,$B256,0)</f>
        <v>0</v>
      </c>
      <c r="J256" s="2">
        <f>IF(COUNTIF(Roster!$D256:$M256,J$1)&gt;0,$B256,0)</f>
        <v>0</v>
      </c>
      <c r="K256" s="2">
        <f>IF(COUNTIF(Roster!$D256:$M256,K$1)&gt;0,$B256,0)</f>
        <v>0</v>
      </c>
      <c r="L256" s="2">
        <f>IF(COUNTIF(Roster!$D256:$M256,L$1)&gt;0,$B256,0)</f>
        <v>0</v>
      </c>
      <c r="M256" s="2">
        <f>IF(COUNTIF(Roster!$D256:$M256,M$1)&gt;0,$B256,0)</f>
        <v>0</v>
      </c>
      <c r="N256" s="2">
        <f>IF(COUNTIF(Roster!$D256:$M256,N$1)&gt;0,$B256,0)</f>
        <v>0</v>
      </c>
      <c r="O256" s="2">
        <f>IF(COUNTIF(Roster!$D256:$M256,O$1)&gt;0,$B256,0)</f>
        <v>0</v>
      </c>
      <c r="P256" s="2">
        <f>IF(COUNTIF(Roster!$D256:$M256,P$1)&gt;0,$B256,0)</f>
        <v>0</v>
      </c>
      <c r="Q256" s="2">
        <f>IF(COUNTIF(Roster!$D256:$M256,Q$1)&gt;0,$B256,0)</f>
        <v>0</v>
      </c>
      <c r="R256" s="2">
        <f>IF(COUNTIF(Roster!$D256:$M256,R$1)&gt;0,$B256,0)</f>
        <v>0</v>
      </c>
      <c r="S256" s="2">
        <f>IF(COUNTIF(Roster!$D256:$M256,S$1)&gt;0,$B256,0)</f>
        <v>0</v>
      </c>
      <c r="T256" s="2">
        <f>IF(COUNTIF(Roster!$D256:$M256,T$1)&gt;0,$B256,0)</f>
        <v>0</v>
      </c>
      <c r="U256" s="2">
        <f>IF(COUNTIF(Roster!$D256:$M256,U$1)&gt;0,$B256,0)</f>
        <v>0</v>
      </c>
      <c r="V256" s="2">
        <f>IF(COUNTIF(Roster!$D256:$M256,V$1)&gt;0,$B256,0)</f>
        <v>0</v>
      </c>
      <c r="W256" s="2">
        <f>IF(COUNTIF(Roster!$D256:$M256,W$1)&gt;0,$B256,0)</f>
        <v>0</v>
      </c>
      <c r="X256" s="2">
        <f t="shared" si="3"/>
        <v>0</v>
      </c>
    </row>
    <row r="257" spans="1:24" ht="15" customHeight="1" x14ac:dyDescent="0.3">
      <c r="A257" s="2">
        <f>Roster!A257</f>
        <v>256</v>
      </c>
      <c r="B257" s="2">
        <f>Roster!C257</f>
        <v>0</v>
      </c>
      <c r="C257" s="2">
        <f>IF(COUNTIF(Roster!$D257:$M257,C$1)&gt;0,$B257,0)</f>
        <v>0</v>
      </c>
      <c r="D257" s="2">
        <f>IF(COUNTIF(Roster!$D257:$M257,D$1)&gt;0,$B257,0)</f>
        <v>0</v>
      </c>
      <c r="E257" s="2">
        <f>IF(COUNTIF(Roster!$D257:$M257,E$1)&gt;0,$B257,0)</f>
        <v>0</v>
      </c>
      <c r="F257" s="2">
        <f>IF(COUNTIF(Roster!$D257:$M257,F$1)&gt;0,$B257,0)</f>
        <v>0</v>
      </c>
      <c r="G257" s="2">
        <f>IF(COUNTIF(Roster!$D257:$M257,G$1)&gt;0,$B257,0)</f>
        <v>0</v>
      </c>
      <c r="H257" s="2">
        <f>IF(COUNTIF(Roster!$D257:$M257,H$1)&gt;0,$B257,0)</f>
        <v>0</v>
      </c>
      <c r="I257" s="2">
        <f>IF(COUNTIF(Roster!$D257:$M257,I$1)&gt;0,$B257,0)</f>
        <v>0</v>
      </c>
      <c r="J257" s="2">
        <f>IF(COUNTIF(Roster!$D257:$M257,J$1)&gt;0,$B257,0)</f>
        <v>0</v>
      </c>
      <c r="K257" s="2">
        <f>IF(COUNTIF(Roster!$D257:$M257,K$1)&gt;0,$B257,0)</f>
        <v>0</v>
      </c>
      <c r="L257" s="2">
        <f>IF(COUNTIF(Roster!$D257:$M257,L$1)&gt;0,$B257,0)</f>
        <v>0</v>
      </c>
      <c r="M257" s="2">
        <f>IF(COUNTIF(Roster!$D257:$M257,M$1)&gt;0,$B257,0)</f>
        <v>0</v>
      </c>
      <c r="N257" s="2">
        <f>IF(COUNTIF(Roster!$D257:$M257,N$1)&gt;0,$B257,0)</f>
        <v>0</v>
      </c>
      <c r="O257" s="2">
        <f>IF(COUNTIF(Roster!$D257:$M257,O$1)&gt;0,$B257,0)</f>
        <v>0</v>
      </c>
      <c r="P257" s="2">
        <f>IF(COUNTIF(Roster!$D257:$M257,P$1)&gt;0,$B257,0)</f>
        <v>0</v>
      </c>
      <c r="Q257" s="2">
        <f>IF(COUNTIF(Roster!$D257:$M257,Q$1)&gt;0,$B257,0)</f>
        <v>0</v>
      </c>
      <c r="R257" s="2">
        <f>IF(COUNTIF(Roster!$D257:$M257,R$1)&gt;0,$B257,0)</f>
        <v>0</v>
      </c>
      <c r="S257" s="2">
        <f>IF(COUNTIF(Roster!$D257:$M257,S$1)&gt;0,$B257,0)</f>
        <v>0</v>
      </c>
      <c r="T257" s="2">
        <f>IF(COUNTIF(Roster!$D257:$M257,T$1)&gt;0,$B257,0)</f>
        <v>0</v>
      </c>
      <c r="U257" s="2">
        <f>IF(COUNTIF(Roster!$D257:$M257,U$1)&gt;0,$B257,0)</f>
        <v>0</v>
      </c>
      <c r="V257" s="2">
        <f>IF(COUNTIF(Roster!$D257:$M257,V$1)&gt;0,$B257,0)</f>
        <v>0</v>
      </c>
      <c r="W257" s="2">
        <f>IF(COUNTIF(Roster!$D257:$M257,W$1)&gt;0,$B257,0)</f>
        <v>0</v>
      </c>
      <c r="X257" s="2">
        <f t="shared" si="3"/>
        <v>0</v>
      </c>
    </row>
    <row r="258" spans="1:24" ht="15" customHeight="1" x14ac:dyDescent="0.3">
      <c r="A258" s="2">
        <f>Roster!A258</f>
        <v>257</v>
      </c>
      <c r="B258" s="2">
        <f>Roster!C258</f>
        <v>0</v>
      </c>
      <c r="C258" s="2">
        <f>IF(COUNTIF(Roster!$D258:$M258,C$1)&gt;0,$B258,0)</f>
        <v>0</v>
      </c>
      <c r="D258" s="2">
        <f>IF(COUNTIF(Roster!$D258:$M258,D$1)&gt;0,$B258,0)</f>
        <v>0</v>
      </c>
      <c r="E258" s="2">
        <f>IF(COUNTIF(Roster!$D258:$M258,E$1)&gt;0,$B258,0)</f>
        <v>0</v>
      </c>
      <c r="F258" s="2">
        <f>IF(COUNTIF(Roster!$D258:$M258,F$1)&gt;0,$B258,0)</f>
        <v>0</v>
      </c>
      <c r="G258" s="2">
        <f>IF(COUNTIF(Roster!$D258:$M258,G$1)&gt;0,$B258,0)</f>
        <v>0</v>
      </c>
      <c r="H258" s="2">
        <f>IF(COUNTIF(Roster!$D258:$M258,H$1)&gt;0,$B258,0)</f>
        <v>0</v>
      </c>
      <c r="I258" s="2">
        <f>IF(COUNTIF(Roster!$D258:$M258,I$1)&gt;0,$B258,0)</f>
        <v>0</v>
      </c>
      <c r="J258" s="2">
        <f>IF(COUNTIF(Roster!$D258:$M258,J$1)&gt;0,$B258,0)</f>
        <v>0</v>
      </c>
      <c r="K258" s="2">
        <f>IF(COUNTIF(Roster!$D258:$M258,K$1)&gt;0,$B258,0)</f>
        <v>0</v>
      </c>
      <c r="L258" s="2">
        <f>IF(COUNTIF(Roster!$D258:$M258,L$1)&gt;0,$B258,0)</f>
        <v>0</v>
      </c>
      <c r="M258" s="2">
        <f>IF(COUNTIF(Roster!$D258:$M258,M$1)&gt;0,$B258,0)</f>
        <v>0</v>
      </c>
      <c r="N258" s="2">
        <f>IF(COUNTIF(Roster!$D258:$M258,N$1)&gt;0,$B258,0)</f>
        <v>0</v>
      </c>
      <c r="O258" s="2">
        <f>IF(COUNTIF(Roster!$D258:$M258,O$1)&gt;0,$B258,0)</f>
        <v>0</v>
      </c>
      <c r="P258" s="2">
        <f>IF(COUNTIF(Roster!$D258:$M258,P$1)&gt;0,$B258,0)</f>
        <v>0</v>
      </c>
      <c r="Q258" s="2">
        <f>IF(COUNTIF(Roster!$D258:$M258,Q$1)&gt;0,$B258,0)</f>
        <v>0</v>
      </c>
      <c r="R258" s="2">
        <f>IF(COUNTIF(Roster!$D258:$M258,R$1)&gt;0,$B258,0)</f>
        <v>0</v>
      </c>
      <c r="S258" s="2">
        <f>IF(COUNTIF(Roster!$D258:$M258,S$1)&gt;0,$B258,0)</f>
        <v>0</v>
      </c>
      <c r="T258" s="2">
        <f>IF(COUNTIF(Roster!$D258:$M258,T$1)&gt;0,$B258,0)</f>
        <v>0</v>
      </c>
      <c r="U258" s="2">
        <f>IF(COUNTIF(Roster!$D258:$M258,U$1)&gt;0,$B258,0)</f>
        <v>0</v>
      </c>
      <c r="V258" s="2">
        <f>IF(COUNTIF(Roster!$D258:$M258,V$1)&gt;0,$B258,0)</f>
        <v>0</v>
      </c>
      <c r="W258" s="2">
        <f>IF(COUNTIF(Roster!$D258:$M258,W$1)&gt;0,$B258,0)</f>
        <v>0</v>
      </c>
      <c r="X258" s="2">
        <f t="shared" ref="X258:X267" si="4">SUM(H258:W258)</f>
        <v>0</v>
      </c>
    </row>
    <row r="259" spans="1:24" ht="15" customHeight="1" x14ac:dyDescent="0.3">
      <c r="A259" s="2">
        <f>Roster!A259</f>
        <v>258</v>
      </c>
      <c r="B259" s="2">
        <f>Roster!C259</f>
        <v>0</v>
      </c>
      <c r="C259" s="2">
        <f>IF(COUNTIF(Roster!$D259:$M259,C$1)&gt;0,$B259,0)</f>
        <v>0</v>
      </c>
      <c r="D259" s="2">
        <f>IF(COUNTIF(Roster!$D259:$M259,D$1)&gt;0,$B259,0)</f>
        <v>0</v>
      </c>
      <c r="E259" s="2">
        <f>IF(COUNTIF(Roster!$D259:$M259,E$1)&gt;0,$B259,0)</f>
        <v>0</v>
      </c>
      <c r="F259" s="2">
        <f>IF(COUNTIF(Roster!$D259:$M259,F$1)&gt;0,$B259,0)</f>
        <v>0</v>
      </c>
      <c r="G259" s="2">
        <f>IF(COUNTIF(Roster!$D259:$M259,G$1)&gt;0,$B259,0)</f>
        <v>0</v>
      </c>
      <c r="H259" s="2">
        <f>IF(COUNTIF(Roster!$D259:$M259,H$1)&gt;0,$B259,0)</f>
        <v>0</v>
      </c>
      <c r="I259" s="2">
        <f>IF(COUNTIF(Roster!$D259:$M259,I$1)&gt;0,$B259,0)</f>
        <v>0</v>
      </c>
      <c r="J259" s="2">
        <f>IF(COUNTIF(Roster!$D259:$M259,J$1)&gt;0,$B259,0)</f>
        <v>0</v>
      </c>
      <c r="K259" s="2">
        <f>IF(COUNTIF(Roster!$D259:$M259,K$1)&gt;0,$B259,0)</f>
        <v>0</v>
      </c>
      <c r="L259" s="2">
        <f>IF(COUNTIF(Roster!$D259:$M259,L$1)&gt;0,$B259,0)</f>
        <v>0</v>
      </c>
      <c r="M259" s="2">
        <f>IF(COUNTIF(Roster!$D259:$M259,M$1)&gt;0,$B259,0)</f>
        <v>0</v>
      </c>
      <c r="N259" s="2">
        <f>IF(COUNTIF(Roster!$D259:$M259,N$1)&gt;0,$B259,0)</f>
        <v>0</v>
      </c>
      <c r="O259" s="2">
        <f>IF(COUNTIF(Roster!$D259:$M259,O$1)&gt;0,$B259,0)</f>
        <v>0</v>
      </c>
      <c r="P259" s="2">
        <f>IF(COUNTIF(Roster!$D259:$M259,P$1)&gt;0,$B259,0)</f>
        <v>0</v>
      </c>
      <c r="Q259" s="2">
        <f>IF(COUNTIF(Roster!$D259:$M259,Q$1)&gt;0,$B259,0)</f>
        <v>0</v>
      </c>
      <c r="R259" s="2">
        <f>IF(COUNTIF(Roster!$D259:$M259,R$1)&gt;0,$B259,0)</f>
        <v>0</v>
      </c>
      <c r="S259" s="2">
        <f>IF(COUNTIF(Roster!$D259:$M259,S$1)&gt;0,$B259,0)</f>
        <v>0</v>
      </c>
      <c r="T259" s="2">
        <f>IF(COUNTIF(Roster!$D259:$M259,T$1)&gt;0,$B259,0)</f>
        <v>0</v>
      </c>
      <c r="U259" s="2">
        <f>IF(COUNTIF(Roster!$D259:$M259,U$1)&gt;0,$B259,0)</f>
        <v>0</v>
      </c>
      <c r="V259" s="2">
        <f>IF(COUNTIF(Roster!$D259:$M259,V$1)&gt;0,$B259,0)</f>
        <v>0</v>
      </c>
      <c r="W259" s="2">
        <f>IF(COUNTIF(Roster!$D259:$M259,W$1)&gt;0,$B259,0)</f>
        <v>0</v>
      </c>
      <c r="X259" s="2">
        <f t="shared" si="4"/>
        <v>0</v>
      </c>
    </row>
    <row r="260" spans="1:24" ht="15" customHeight="1" x14ac:dyDescent="0.3">
      <c r="A260" s="2">
        <f>Roster!A260</f>
        <v>259</v>
      </c>
      <c r="B260" s="2">
        <f>Roster!C260</f>
        <v>0</v>
      </c>
      <c r="C260" s="2">
        <f>IF(COUNTIF(Roster!$D260:$M260,C$1)&gt;0,$B260,0)</f>
        <v>0</v>
      </c>
      <c r="D260" s="2">
        <f>IF(COUNTIF(Roster!$D260:$M260,D$1)&gt;0,$B260,0)</f>
        <v>0</v>
      </c>
      <c r="E260" s="2">
        <f>IF(COUNTIF(Roster!$D260:$M260,E$1)&gt;0,$B260,0)</f>
        <v>0</v>
      </c>
      <c r="F260" s="2">
        <f>IF(COUNTIF(Roster!$D260:$M260,F$1)&gt;0,$B260,0)</f>
        <v>0</v>
      </c>
      <c r="G260" s="2">
        <f>IF(COUNTIF(Roster!$D260:$M260,G$1)&gt;0,$B260,0)</f>
        <v>0</v>
      </c>
      <c r="H260" s="2">
        <f>IF(COUNTIF(Roster!$D260:$M260,H$1)&gt;0,$B260,0)</f>
        <v>0</v>
      </c>
      <c r="I260" s="2">
        <f>IF(COUNTIF(Roster!$D260:$M260,I$1)&gt;0,$B260,0)</f>
        <v>0</v>
      </c>
      <c r="J260" s="2">
        <f>IF(COUNTIF(Roster!$D260:$M260,J$1)&gt;0,$B260,0)</f>
        <v>0</v>
      </c>
      <c r="K260" s="2">
        <f>IF(COUNTIF(Roster!$D260:$M260,K$1)&gt;0,$B260,0)</f>
        <v>0</v>
      </c>
      <c r="L260" s="2">
        <f>IF(COUNTIF(Roster!$D260:$M260,L$1)&gt;0,$B260,0)</f>
        <v>0</v>
      </c>
      <c r="M260" s="2">
        <f>IF(COUNTIF(Roster!$D260:$M260,M$1)&gt;0,$B260,0)</f>
        <v>0</v>
      </c>
      <c r="N260" s="2">
        <f>IF(COUNTIF(Roster!$D260:$M260,N$1)&gt;0,$B260,0)</f>
        <v>0</v>
      </c>
      <c r="O260" s="2">
        <f>IF(COUNTIF(Roster!$D260:$M260,O$1)&gt;0,$B260,0)</f>
        <v>0</v>
      </c>
      <c r="P260" s="2">
        <f>IF(COUNTIF(Roster!$D260:$M260,P$1)&gt;0,$B260,0)</f>
        <v>0</v>
      </c>
      <c r="Q260" s="2">
        <f>IF(COUNTIF(Roster!$D260:$M260,Q$1)&gt;0,$B260,0)</f>
        <v>0</v>
      </c>
      <c r="R260" s="2">
        <f>IF(COUNTIF(Roster!$D260:$M260,R$1)&gt;0,$B260,0)</f>
        <v>0</v>
      </c>
      <c r="S260" s="2">
        <f>IF(COUNTIF(Roster!$D260:$M260,S$1)&gt;0,$B260,0)</f>
        <v>0</v>
      </c>
      <c r="T260" s="2">
        <f>IF(COUNTIF(Roster!$D260:$M260,T$1)&gt;0,$B260,0)</f>
        <v>0</v>
      </c>
      <c r="U260" s="2">
        <f>IF(COUNTIF(Roster!$D260:$M260,U$1)&gt;0,$B260,0)</f>
        <v>0</v>
      </c>
      <c r="V260" s="2">
        <f>IF(COUNTIF(Roster!$D260:$M260,V$1)&gt;0,$B260,0)</f>
        <v>0</v>
      </c>
      <c r="W260" s="2">
        <f>IF(COUNTIF(Roster!$D260:$M260,W$1)&gt;0,$B260,0)</f>
        <v>0</v>
      </c>
      <c r="X260" s="2">
        <f t="shared" si="4"/>
        <v>0</v>
      </c>
    </row>
    <row r="261" spans="1:24" ht="15" customHeight="1" x14ac:dyDescent="0.3">
      <c r="A261" s="2">
        <f>Roster!A261</f>
        <v>260</v>
      </c>
      <c r="B261" s="2">
        <f>Roster!C261</f>
        <v>0</v>
      </c>
      <c r="C261" s="2">
        <f>IF(COUNTIF(Roster!$D261:$M261,C$1)&gt;0,$B261,0)</f>
        <v>0</v>
      </c>
      <c r="D261" s="2">
        <f>IF(COUNTIF(Roster!$D261:$M261,D$1)&gt;0,$B261,0)</f>
        <v>0</v>
      </c>
      <c r="E261" s="2">
        <f>IF(COUNTIF(Roster!$D261:$M261,E$1)&gt;0,$B261,0)</f>
        <v>0</v>
      </c>
      <c r="F261" s="2">
        <f>IF(COUNTIF(Roster!$D261:$M261,F$1)&gt;0,$B261,0)</f>
        <v>0</v>
      </c>
      <c r="G261" s="2">
        <f>IF(COUNTIF(Roster!$D261:$M261,G$1)&gt;0,$B261,0)</f>
        <v>0</v>
      </c>
      <c r="H261" s="2">
        <f>IF(COUNTIF(Roster!$D261:$M261,H$1)&gt;0,$B261,0)</f>
        <v>0</v>
      </c>
      <c r="I261" s="2">
        <f>IF(COUNTIF(Roster!$D261:$M261,I$1)&gt;0,$B261,0)</f>
        <v>0</v>
      </c>
      <c r="J261" s="2">
        <f>IF(COUNTIF(Roster!$D261:$M261,J$1)&gt;0,$B261,0)</f>
        <v>0</v>
      </c>
      <c r="K261" s="2">
        <f>IF(COUNTIF(Roster!$D261:$M261,K$1)&gt;0,$B261,0)</f>
        <v>0</v>
      </c>
      <c r="L261" s="2">
        <f>IF(COUNTIF(Roster!$D261:$M261,L$1)&gt;0,$B261,0)</f>
        <v>0</v>
      </c>
      <c r="M261" s="2">
        <f>IF(COUNTIF(Roster!$D261:$M261,M$1)&gt;0,$B261,0)</f>
        <v>0</v>
      </c>
      <c r="N261" s="2">
        <f>IF(COUNTIF(Roster!$D261:$M261,N$1)&gt;0,$B261,0)</f>
        <v>0</v>
      </c>
      <c r="O261" s="2">
        <f>IF(COUNTIF(Roster!$D261:$M261,O$1)&gt;0,$B261,0)</f>
        <v>0</v>
      </c>
      <c r="P261" s="2">
        <f>IF(COUNTIF(Roster!$D261:$M261,P$1)&gt;0,$B261,0)</f>
        <v>0</v>
      </c>
      <c r="Q261" s="2">
        <f>IF(COUNTIF(Roster!$D261:$M261,Q$1)&gt;0,$B261,0)</f>
        <v>0</v>
      </c>
      <c r="R261" s="2">
        <f>IF(COUNTIF(Roster!$D261:$M261,R$1)&gt;0,$B261,0)</f>
        <v>0</v>
      </c>
      <c r="S261" s="2">
        <f>IF(COUNTIF(Roster!$D261:$M261,S$1)&gt;0,$B261,0)</f>
        <v>0</v>
      </c>
      <c r="T261" s="2">
        <f>IF(COUNTIF(Roster!$D261:$M261,T$1)&gt;0,$B261,0)</f>
        <v>0</v>
      </c>
      <c r="U261" s="2">
        <f>IF(COUNTIF(Roster!$D261:$M261,U$1)&gt;0,$B261,0)</f>
        <v>0</v>
      </c>
      <c r="V261" s="2">
        <f>IF(COUNTIF(Roster!$D261:$M261,V$1)&gt;0,$B261,0)</f>
        <v>0</v>
      </c>
      <c r="W261" s="2">
        <f>IF(COUNTIF(Roster!$D261:$M261,W$1)&gt;0,$B261,0)</f>
        <v>0</v>
      </c>
      <c r="X261" s="2">
        <f t="shared" si="4"/>
        <v>0</v>
      </c>
    </row>
    <row r="262" spans="1:24" ht="15" customHeight="1" x14ac:dyDescent="0.3">
      <c r="A262" s="2">
        <f>Roster!A262</f>
        <v>261</v>
      </c>
      <c r="B262" s="2">
        <f>Roster!C262</f>
        <v>0</v>
      </c>
      <c r="C262" s="2">
        <f>IF(COUNTIF(Roster!$D262:$M262,C$1)&gt;0,$B262,0)</f>
        <v>0</v>
      </c>
      <c r="D262" s="2">
        <f>IF(COUNTIF(Roster!$D262:$M262,D$1)&gt;0,$B262,0)</f>
        <v>0</v>
      </c>
      <c r="E262" s="2">
        <f>IF(COUNTIF(Roster!$D262:$M262,E$1)&gt;0,$B262,0)</f>
        <v>0</v>
      </c>
      <c r="F262" s="2">
        <f>IF(COUNTIF(Roster!$D262:$M262,F$1)&gt;0,$B262,0)</f>
        <v>0</v>
      </c>
      <c r="G262" s="2">
        <f>IF(COUNTIF(Roster!$D262:$M262,G$1)&gt;0,$B262,0)</f>
        <v>0</v>
      </c>
      <c r="H262" s="2">
        <f>IF(COUNTIF(Roster!$D262:$M262,H$1)&gt;0,$B262,0)</f>
        <v>0</v>
      </c>
      <c r="I262" s="2">
        <f>IF(COUNTIF(Roster!$D262:$M262,I$1)&gt;0,$B262,0)</f>
        <v>0</v>
      </c>
      <c r="J262" s="2">
        <f>IF(COUNTIF(Roster!$D262:$M262,J$1)&gt;0,$B262,0)</f>
        <v>0</v>
      </c>
      <c r="K262" s="2">
        <f>IF(COUNTIF(Roster!$D262:$M262,K$1)&gt;0,$B262,0)</f>
        <v>0</v>
      </c>
      <c r="L262" s="2">
        <f>IF(COUNTIF(Roster!$D262:$M262,L$1)&gt;0,$B262,0)</f>
        <v>0</v>
      </c>
      <c r="M262" s="2">
        <f>IF(COUNTIF(Roster!$D262:$M262,M$1)&gt;0,$B262,0)</f>
        <v>0</v>
      </c>
      <c r="N262" s="2">
        <f>IF(COUNTIF(Roster!$D262:$M262,N$1)&gt;0,$B262,0)</f>
        <v>0</v>
      </c>
      <c r="O262" s="2">
        <f>IF(COUNTIF(Roster!$D262:$M262,O$1)&gt;0,$B262,0)</f>
        <v>0</v>
      </c>
      <c r="P262" s="2">
        <f>IF(COUNTIF(Roster!$D262:$M262,P$1)&gt;0,$B262,0)</f>
        <v>0</v>
      </c>
      <c r="Q262" s="2">
        <f>IF(COUNTIF(Roster!$D262:$M262,Q$1)&gt;0,$B262,0)</f>
        <v>0</v>
      </c>
      <c r="R262" s="2">
        <f>IF(COUNTIF(Roster!$D262:$M262,R$1)&gt;0,$B262,0)</f>
        <v>0</v>
      </c>
      <c r="S262" s="2">
        <f>IF(COUNTIF(Roster!$D262:$M262,S$1)&gt;0,$B262,0)</f>
        <v>0</v>
      </c>
      <c r="T262" s="2">
        <f>IF(COUNTIF(Roster!$D262:$M262,T$1)&gt;0,$B262,0)</f>
        <v>0</v>
      </c>
      <c r="U262" s="2">
        <f>IF(COUNTIF(Roster!$D262:$M262,U$1)&gt;0,$B262,0)</f>
        <v>0</v>
      </c>
      <c r="V262" s="2">
        <f>IF(COUNTIF(Roster!$D262:$M262,V$1)&gt;0,$B262,0)</f>
        <v>0</v>
      </c>
      <c r="W262" s="2">
        <f>IF(COUNTIF(Roster!$D262:$M262,W$1)&gt;0,$B262,0)</f>
        <v>0</v>
      </c>
      <c r="X262" s="2">
        <f t="shared" si="4"/>
        <v>0</v>
      </c>
    </row>
    <row r="263" spans="1:24" ht="15" customHeight="1" x14ac:dyDescent="0.3">
      <c r="A263" s="2">
        <f>Roster!A263</f>
        <v>262</v>
      </c>
      <c r="B263" s="2">
        <f>Roster!C263</f>
        <v>0</v>
      </c>
      <c r="C263" s="2">
        <f>IF(COUNTIF(Roster!$D263:$M263,C$1)&gt;0,$B263,0)</f>
        <v>0</v>
      </c>
      <c r="D263" s="2">
        <f>IF(COUNTIF(Roster!$D263:$M263,D$1)&gt;0,$B263,0)</f>
        <v>0</v>
      </c>
      <c r="E263" s="2">
        <f>IF(COUNTIF(Roster!$D263:$M263,E$1)&gt;0,$B263,0)</f>
        <v>0</v>
      </c>
      <c r="F263" s="2">
        <f>IF(COUNTIF(Roster!$D263:$M263,F$1)&gt;0,$B263,0)</f>
        <v>0</v>
      </c>
      <c r="G263" s="2">
        <f>IF(COUNTIF(Roster!$D263:$M263,G$1)&gt;0,$B263,0)</f>
        <v>0</v>
      </c>
      <c r="H263" s="2">
        <f>IF(COUNTIF(Roster!$D263:$M263,H$1)&gt;0,$B263,0)</f>
        <v>0</v>
      </c>
      <c r="I263" s="2">
        <f>IF(COUNTIF(Roster!$D263:$M263,I$1)&gt;0,$B263,0)</f>
        <v>0</v>
      </c>
      <c r="J263" s="2">
        <f>IF(COUNTIF(Roster!$D263:$M263,J$1)&gt;0,$B263,0)</f>
        <v>0</v>
      </c>
      <c r="K263" s="2">
        <f>IF(COUNTIF(Roster!$D263:$M263,K$1)&gt;0,$B263,0)</f>
        <v>0</v>
      </c>
      <c r="L263" s="2">
        <f>IF(COUNTIF(Roster!$D263:$M263,L$1)&gt;0,$B263,0)</f>
        <v>0</v>
      </c>
      <c r="M263" s="2">
        <f>IF(COUNTIF(Roster!$D263:$M263,M$1)&gt;0,$B263,0)</f>
        <v>0</v>
      </c>
      <c r="N263" s="2">
        <f>IF(COUNTIF(Roster!$D263:$M263,N$1)&gt;0,$B263,0)</f>
        <v>0</v>
      </c>
      <c r="O263" s="2">
        <f>IF(COUNTIF(Roster!$D263:$M263,O$1)&gt;0,$B263,0)</f>
        <v>0</v>
      </c>
      <c r="P263" s="2">
        <f>IF(COUNTIF(Roster!$D263:$M263,P$1)&gt;0,$B263,0)</f>
        <v>0</v>
      </c>
      <c r="Q263" s="2">
        <f>IF(COUNTIF(Roster!$D263:$M263,Q$1)&gt;0,$B263,0)</f>
        <v>0</v>
      </c>
      <c r="R263" s="2">
        <f>IF(COUNTIF(Roster!$D263:$M263,R$1)&gt;0,$B263,0)</f>
        <v>0</v>
      </c>
      <c r="S263" s="2">
        <f>IF(COUNTIF(Roster!$D263:$M263,S$1)&gt;0,$B263,0)</f>
        <v>0</v>
      </c>
      <c r="T263" s="2">
        <f>IF(COUNTIF(Roster!$D263:$M263,T$1)&gt;0,$B263,0)</f>
        <v>0</v>
      </c>
      <c r="U263" s="2">
        <f>IF(COUNTIF(Roster!$D263:$M263,U$1)&gt;0,$B263,0)</f>
        <v>0</v>
      </c>
      <c r="V263" s="2">
        <f>IF(COUNTIF(Roster!$D263:$M263,V$1)&gt;0,$B263,0)</f>
        <v>0</v>
      </c>
      <c r="W263" s="2">
        <f>IF(COUNTIF(Roster!$D263:$M263,W$1)&gt;0,$B263,0)</f>
        <v>0</v>
      </c>
      <c r="X263" s="2">
        <f t="shared" si="4"/>
        <v>0</v>
      </c>
    </row>
    <row r="264" spans="1:24" ht="15" customHeight="1" x14ac:dyDescent="0.3">
      <c r="A264" s="2">
        <f>Roster!A264</f>
        <v>263</v>
      </c>
      <c r="B264" s="2">
        <f>Roster!C264</f>
        <v>0</v>
      </c>
      <c r="C264" s="2">
        <f>IF(COUNTIF(Roster!$D264:$M264,C$1)&gt;0,$B264,0)</f>
        <v>0</v>
      </c>
      <c r="D264" s="2">
        <f>IF(COUNTIF(Roster!$D264:$M264,D$1)&gt;0,$B264,0)</f>
        <v>0</v>
      </c>
      <c r="E264" s="2">
        <f>IF(COUNTIF(Roster!$D264:$M264,E$1)&gt;0,$B264,0)</f>
        <v>0</v>
      </c>
      <c r="F264" s="2">
        <f>IF(COUNTIF(Roster!$D264:$M264,F$1)&gt;0,$B264,0)</f>
        <v>0</v>
      </c>
      <c r="G264" s="2">
        <f>IF(COUNTIF(Roster!$D264:$M264,G$1)&gt;0,$B264,0)</f>
        <v>0</v>
      </c>
      <c r="H264" s="2">
        <f>IF(COUNTIF(Roster!$D264:$M264,H$1)&gt;0,$B264,0)</f>
        <v>0</v>
      </c>
      <c r="I264" s="2">
        <f>IF(COUNTIF(Roster!$D264:$M264,I$1)&gt;0,$B264,0)</f>
        <v>0</v>
      </c>
      <c r="J264" s="2">
        <f>IF(COUNTIF(Roster!$D264:$M264,J$1)&gt;0,$B264,0)</f>
        <v>0</v>
      </c>
      <c r="K264" s="2">
        <f>IF(COUNTIF(Roster!$D264:$M264,K$1)&gt;0,$B264,0)</f>
        <v>0</v>
      </c>
      <c r="L264" s="2">
        <f>IF(COUNTIF(Roster!$D264:$M264,L$1)&gt;0,$B264,0)</f>
        <v>0</v>
      </c>
      <c r="M264" s="2">
        <f>IF(COUNTIF(Roster!$D264:$M264,M$1)&gt;0,$B264,0)</f>
        <v>0</v>
      </c>
      <c r="N264" s="2">
        <f>IF(COUNTIF(Roster!$D264:$M264,N$1)&gt;0,$B264,0)</f>
        <v>0</v>
      </c>
      <c r="O264" s="2">
        <f>IF(COUNTIF(Roster!$D264:$M264,O$1)&gt;0,$B264,0)</f>
        <v>0</v>
      </c>
      <c r="P264" s="2">
        <f>IF(COUNTIF(Roster!$D264:$M264,P$1)&gt;0,$B264,0)</f>
        <v>0</v>
      </c>
      <c r="Q264" s="2">
        <f>IF(COUNTIF(Roster!$D264:$M264,Q$1)&gt;0,$B264,0)</f>
        <v>0</v>
      </c>
      <c r="R264" s="2">
        <f>IF(COUNTIF(Roster!$D264:$M264,R$1)&gt;0,$B264,0)</f>
        <v>0</v>
      </c>
      <c r="S264" s="2">
        <f>IF(COUNTIF(Roster!$D264:$M264,S$1)&gt;0,$B264,0)</f>
        <v>0</v>
      </c>
      <c r="T264" s="2">
        <f>IF(COUNTIF(Roster!$D264:$M264,T$1)&gt;0,$B264,0)</f>
        <v>0</v>
      </c>
      <c r="U264" s="2">
        <f>IF(COUNTIF(Roster!$D264:$M264,U$1)&gt;0,$B264,0)</f>
        <v>0</v>
      </c>
      <c r="V264" s="2">
        <f>IF(COUNTIF(Roster!$D264:$M264,V$1)&gt;0,$B264,0)</f>
        <v>0</v>
      </c>
      <c r="W264" s="2">
        <f>IF(COUNTIF(Roster!$D264:$M264,W$1)&gt;0,$B264,0)</f>
        <v>0</v>
      </c>
      <c r="X264" s="2">
        <f t="shared" si="4"/>
        <v>0</v>
      </c>
    </row>
    <row r="265" spans="1:24" ht="15" customHeight="1" x14ac:dyDescent="0.3">
      <c r="A265" s="2">
        <f>Roster!A265</f>
        <v>264</v>
      </c>
      <c r="B265" s="2">
        <f>Roster!C265</f>
        <v>0</v>
      </c>
      <c r="C265" s="2">
        <f>IF(COUNTIF(Roster!$D265:$M265,C$1)&gt;0,$B265,0)</f>
        <v>0</v>
      </c>
      <c r="D265" s="2">
        <f>IF(COUNTIF(Roster!$D265:$M265,D$1)&gt;0,$B265,0)</f>
        <v>0</v>
      </c>
      <c r="E265" s="2">
        <f>IF(COUNTIF(Roster!$D265:$M265,E$1)&gt;0,$B265,0)</f>
        <v>0</v>
      </c>
      <c r="F265" s="2">
        <f>IF(COUNTIF(Roster!$D265:$M265,F$1)&gt;0,$B265,0)</f>
        <v>0</v>
      </c>
      <c r="G265" s="2">
        <f>IF(COUNTIF(Roster!$D265:$M265,G$1)&gt;0,$B265,0)</f>
        <v>0</v>
      </c>
      <c r="H265" s="2">
        <f>IF(COUNTIF(Roster!$D265:$M265,H$1)&gt;0,$B265,0)</f>
        <v>0</v>
      </c>
      <c r="I265" s="2">
        <f>IF(COUNTIF(Roster!$D265:$M265,I$1)&gt;0,$B265,0)</f>
        <v>0</v>
      </c>
      <c r="J265" s="2">
        <f>IF(COUNTIF(Roster!$D265:$M265,J$1)&gt;0,$B265,0)</f>
        <v>0</v>
      </c>
      <c r="K265" s="2">
        <f>IF(COUNTIF(Roster!$D265:$M265,K$1)&gt;0,$B265,0)</f>
        <v>0</v>
      </c>
      <c r="L265" s="2">
        <f>IF(COUNTIF(Roster!$D265:$M265,L$1)&gt;0,$B265,0)</f>
        <v>0</v>
      </c>
      <c r="M265" s="2">
        <f>IF(COUNTIF(Roster!$D265:$M265,M$1)&gt;0,$B265,0)</f>
        <v>0</v>
      </c>
      <c r="N265" s="2">
        <f>IF(COUNTIF(Roster!$D265:$M265,N$1)&gt;0,$B265,0)</f>
        <v>0</v>
      </c>
      <c r="O265" s="2">
        <f>IF(COUNTIF(Roster!$D265:$M265,O$1)&gt;0,$B265,0)</f>
        <v>0</v>
      </c>
      <c r="P265" s="2">
        <f>IF(COUNTIF(Roster!$D265:$M265,P$1)&gt;0,$B265,0)</f>
        <v>0</v>
      </c>
      <c r="Q265" s="2">
        <f>IF(COUNTIF(Roster!$D265:$M265,Q$1)&gt;0,$B265,0)</f>
        <v>0</v>
      </c>
      <c r="R265" s="2">
        <f>IF(COUNTIF(Roster!$D265:$M265,R$1)&gt;0,$B265,0)</f>
        <v>0</v>
      </c>
      <c r="S265" s="2">
        <f>IF(COUNTIF(Roster!$D265:$M265,S$1)&gt;0,$B265,0)</f>
        <v>0</v>
      </c>
      <c r="T265" s="2">
        <f>IF(COUNTIF(Roster!$D265:$M265,T$1)&gt;0,$B265,0)</f>
        <v>0</v>
      </c>
      <c r="U265" s="2">
        <f>IF(COUNTIF(Roster!$D265:$M265,U$1)&gt;0,$B265,0)</f>
        <v>0</v>
      </c>
      <c r="V265" s="2">
        <f>IF(COUNTIF(Roster!$D265:$M265,V$1)&gt;0,$B265,0)</f>
        <v>0</v>
      </c>
      <c r="W265" s="2">
        <f>IF(COUNTIF(Roster!$D265:$M265,W$1)&gt;0,$B265,0)</f>
        <v>0</v>
      </c>
      <c r="X265" s="2">
        <f t="shared" si="4"/>
        <v>0</v>
      </c>
    </row>
    <row r="266" spans="1:24" ht="15" customHeight="1" x14ac:dyDescent="0.3">
      <c r="A266" s="2">
        <f>Roster!A266</f>
        <v>0</v>
      </c>
      <c r="B266" s="2">
        <f>Roster!C266</f>
        <v>0</v>
      </c>
      <c r="C266" s="2">
        <f>IF(COUNTIF(Roster!$D266:$M266,C$1)&gt;0,$B266,0)</f>
        <v>0</v>
      </c>
      <c r="D266" s="2">
        <f>IF(COUNTIF(Roster!$D266:$M266,D$1)&gt;0,$B266,0)</f>
        <v>0</v>
      </c>
      <c r="E266" s="2">
        <f>IF(COUNTIF(Roster!$D266:$M266,E$1)&gt;0,$B266,0)</f>
        <v>0</v>
      </c>
      <c r="F266" s="2">
        <f>IF(COUNTIF(Roster!$D266:$M266,F$1)&gt;0,$B266,0)</f>
        <v>0</v>
      </c>
      <c r="G266" s="2">
        <f>IF(COUNTIF(Roster!$D266:$M266,G$1)&gt;0,$B266,0)</f>
        <v>0</v>
      </c>
      <c r="H266" s="2">
        <f>IF(COUNTIF(Roster!$D266:$M266,H$1)&gt;0,$B266,0)</f>
        <v>0</v>
      </c>
      <c r="I266" s="2">
        <f>IF(COUNTIF(Roster!$D266:$M266,I$1)&gt;0,$B266,0)</f>
        <v>0</v>
      </c>
      <c r="J266" s="2">
        <f>IF(COUNTIF(Roster!$D266:$M266,J$1)&gt;0,$B266,0)</f>
        <v>0</v>
      </c>
      <c r="K266" s="2">
        <f>IF(COUNTIF(Roster!$D266:$M266,K$1)&gt;0,$B266,0)</f>
        <v>0</v>
      </c>
      <c r="L266" s="2">
        <f>IF(COUNTIF(Roster!$D266:$M266,L$1)&gt;0,$B266,0)</f>
        <v>0</v>
      </c>
      <c r="M266" s="2">
        <f>IF(COUNTIF(Roster!$D266:$M266,M$1)&gt;0,$B266,0)</f>
        <v>0</v>
      </c>
      <c r="N266" s="2">
        <f>IF(COUNTIF(Roster!$D266:$M266,N$1)&gt;0,$B266,0)</f>
        <v>0</v>
      </c>
      <c r="O266" s="2">
        <f>IF(COUNTIF(Roster!$D266:$M266,O$1)&gt;0,$B266,0)</f>
        <v>0</v>
      </c>
      <c r="P266" s="2">
        <f>IF(COUNTIF(Roster!$D266:$M266,P$1)&gt;0,$B266,0)</f>
        <v>0</v>
      </c>
      <c r="Q266" s="2">
        <f>IF(COUNTIF(Roster!$D266:$M266,Q$1)&gt;0,$B266,0)</f>
        <v>0</v>
      </c>
      <c r="R266" s="2">
        <f>IF(COUNTIF(Roster!$D266:$M266,R$1)&gt;0,$B266,0)</f>
        <v>0</v>
      </c>
      <c r="S266" s="2">
        <f>IF(COUNTIF(Roster!$D266:$M266,S$1)&gt;0,$B266,0)</f>
        <v>0</v>
      </c>
      <c r="T266" s="2">
        <f>IF(COUNTIF(Roster!$D266:$M266,T$1)&gt;0,$B266,0)</f>
        <v>0</v>
      </c>
      <c r="U266" s="2">
        <f>IF(COUNTIF(Roster!$D266:$M266,U$1)&gt;0,$B266,0)</f>
        <v>0</v>
      </c>
      <c r="V266" s="2">
        <f>IF(COUNTIF(Roster!$D266:$M266,V$1)&gt;0,$B266,0)</f>
        <v>0</v>
      </c>
      <c r="W266" s="2">
        <f>IF(COUNTIF(Roster!$D266:$M266,W$1)&gt;0,$B266,0)</f>
        <v>0</v>
      </c>
      <c r="X266" s="2">
        <f t="shared" si="4"/>
        <v>0</v>
      </c>
    </row>
    <row r="267" spans="1:24" ht="15" customHeight="1" x14ac:dyDescent="0.3">
      <c r="A267" s="2">
        <f>Roster!A267</f>
        <v>0</v>
      </c>
      <c r="B267" s="2">
        <f>Roster!C267</f>
        <v>0</v>
      </c>
      <c r="C267" s="2">
        <f>IF(COUNTIF(Roster!$D267:$M267,C$1)&gt;0,$B267,0)</f>
        <v>0</v>
      </c>
      <c r="D267" s="2">
        <f>IF(COUNTIF(Roster!$D267:$M267,D$1)&gt;0,$B267,0)</f>
        <v>0</v>
      </c>
      <c r="E267" s="2">
        <f>IF(COUNTIF(Roster!$D267:$M267,E$1)&gt;0,$B267,0)</f>
        <v>0</v>
      </c>
      <c r="F267" s="2">
        <f>IF(COUNTIF(Roster!$D267:$M267,F$1)&gt;0,$B267,0)</f>
        <v>0</v>
      </c>
      <c r="G267" s="2">
        <f>IF(COUNTIF(Roster!$D267:$M267,G$1)&gt;0,$B267,0)</f>
        <v>0</v>
      </c>
      <c r="H267" s="2">
        <f>IF(COUNTIF(Roster!$D267:$M267,H$1)&gt;0,$B267,0)</f>
        <v>0</v>
      </c>
      <c r="I267" s="2">
        <f>IF(COUNTIF(Roster!$D267:$M267,I$1)&gt;0,$B267,0)</f>
        <v>0</v>
      </c>
      <c r="J267" s="2">
        <f>IF(COUNTIF(Roster!$D267:$M267,J$1)&gt;0,$B267,0)</f>
        <v>0</v>
      </c>
      <c r="K267" s="2">
        <f>IF(COUNTIF(Roster!$D267:$M267,K$1)&gt;0,$B267,0)</f>
        <v>0</v>
      </c>
      <c r="L267" s="2">
        <f>IF(COUNTIF(Roster!$D267:$M267,L$1)&gt;0,$B267,0)</f>
        <v>0</v>
      </c>
      <c r="M267" s="2">
        <f>IF(COUNTIF(Roster!$D267:$M267,M$1)&gt;0,$B267,0)</f>
        <v>0</v>
      </c>
      <c r="N267" s="2">
        <f>IF(COUNTIF(Roster!$D267:$M267,N$1)&gt;0,$B267,0)</f>
        <v>0</v>
      </c>
      <c r="O267" s="2">
        <f>IF(COUNTIF(Roster!$D267:$M267,O$1)&gt;0,$B267,0)</f>
        <v>0</v>
      </c>
      <c r="P267" s="2">
        <f>IF(COUNTIF(Roster!$D267:$M267,P$1)&gt;0,$B267,0)</f>
        <v>0</v>
      </c>
      <c r="Q267" s="2">
        <f>IF(COUNTIF(Roster!$D267:$M267,Q$1)&gt;0,$B267,0)</f>
        <v>0</v>
      </c>
      <c r="R267" s="2">
        <f>IF(COUNTIF(Roster!$D267:$M267,R$1)&gt;0,$B267,0)</f>
        <v>0</v>
      </c>
      <c r="S267" s="2">
        <f>IF(COUNTIF(Roster!$D267:$M267,S$1)&gt;0,$B267,0)</f>
        <v>0</v>
      </c>
      <c r="T267" s="2">
        <f>IF(COUNTIF(Roster!$D267:$M267,T$1)&gt;0,$B267,0)</f>
        <v>0</v>
      </c>
      <c r="U267" s="2">
        <f>IF(COUNTIF(Roster!$D267:$M267,U$1)&gt;0,$B267,0)</f>
        <v>0</v>
      </c>
      <c r="V267" s="2">
        <f>IF(COUNTIF(Roster!$D267:$M267,V$1)&gt;0,$B267,0)</f>
        <v>0</v>
      </c>
      <c r="W267" s="2">
        <f>IF(COUNTIF(Roster!$D267:$M267,W$1)&gt;0,$B267,0)</f>
        <v>0</v>
      </c>
      <c r="X267" s="2">
        <f t="shared" si="4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8"/>
  <sheetViews>
    <sheetView zoomScaleNormal="100" workbookViewId="0">
      <selection activeCell="H12" sqref="H12"/>
    </sheetView>
  </sheetViews>
  <sheetFormatPr defaultColWidth="8.6640625" defaultRowHeight="14.4" x14ac:dyDescent="0.3"/>
  <cols>
    <col min="1" max="1" width="10" customWidth="1"/>
    <col min="2" max="2" width="12" customWidth="1"/>
    <col min="3" max="3" width="10" customWidth="1"/>
    <col min="4" max="4" width="7" customWidth="1"/>
    <col min="5" max="5" width="13" customWidth="1"/>
    <col min="6" max="6" width="11" customWidth="1"/>
    <col min="7" max="7" width="20" customWidth="1"/>
    <col min="8" max="8" width="46" customWidth="1"/>
  </cols>
  <sheetData>
    <row r="1" spans="1:8" ht="17.25" customHeight="1" x14ac:dyDescent="0.3">
      <c r="A1" s="1" t="s">
        <v>71</v>
      </c>
    </row>
    <row r="3" spans="1:8" ht="15" customHeight="1" x14ac:dyDescent="0.3">
      <c r="A3" s="6" t="s">
        <v>72</v>
      </c>
      <c r="B3" s="6" t="s">
        <v>73</v>
      </c>
      <c r="C3" s="6" t="s">
        <v>74</v>
      </c>
      <c r="D3" s="6" t="s">
        <v>75</v>
      </c>
      <c r="E3" s="6" t="s">
        <v>76</v>
      </c>
      <c r="F3" s="6" t="s">
        <v>77</v>
      </c>
      <c r="G3" s="6" t="s">
        <v>78</v>
      </c>
      <c r="H3" s="6" t="s">
        <v>79</v>
      </c>
    </row>
    <row r="4" spans="1:8" ht="15" customHeight="1" x14ac:dyDescent="0.3">
      <c r="A4" s="3" t="s">
        <v>48</v>
      </c>
      <c r="B4" s="2" t="s">
        <v>80</v>
      </c>
      <c r="C4" s="2">
        <f>SUM(Matrix!C$2:C$267)</f>
        <v>98</v>
      </c>
      <c r="D4" s="2">
        <f>Config!$B$3</f>
        <v>25</v>
      </c>
      <c r="E4" s="2">
        <f t="shared" ref="E4:E24" si="0">IF(C4=0,0,ROUNDUP(C4/D4,0))</f>
        <v>4</v>
      </c>
      <c r="F4" s="4">
        <v>4</v>
      </c>
      <c r="G4" s="4">
        <v>6</v>
      </c>
      <c r="H4" s="2" t="str">
        <f t="shared" ref="H4:H24" si="1">IF(C4=0,"not offered this grade",IF(F4=0,"NO QUALIFIED STAFF",IF(E4&gt;F4,"OK - "&amp;E4&amp;" sections on "&amp;F4&amp;" staff; must sit in different columns","OK - pool covers floor")))</f>
        <v>OK - pool covers floor</v>
      </c>
    </row>
    <row r="5" spans="1:8" ht="15" customHeight="1" x14ac:dyDescent="0.3">
      <c r="A5" s="3" t="s">
        <v>49</v>
      </c>
      <c r="B5" s="2" t="s">
        <v>80</v>
      </c>
      <c r="C5" s="2">
        <f>SUM(Matrix!D$2:D$267)</f>
        <v>98</v>
      </c>
      <c r="D5" s="2">
        <f>Config!$B$3</f>
        <v>25</v>
      </c>
      <c r="E5" s="2">
        <f t="shared" si="0"/>
        <v>4</v>
      </c>
      <c r="F5" s="4">
        <v>2</v>
      </c>
      <c r="G5" s="4">
        <v>5</v>
      </c>
      <c r="H5" s="2" t="str">
        <f t="shared" si="1"/>
        <v>OK - 4 sections on 2 staff; must sit in different columns</v>
      </c>
    </row>
    <row r="6" spans="1:8" ht="15" customHeight="1" x14ac:dyDescent="0.3">
      <c r="A6" s="3" t="s">
        <v>50</v>
      </c>
      <c r="B6" s="2" t="s">
        <v>80</v>
      </c>
      <c r="C6" s="2">
        <f>SUM(Matrix!E$2:E$267)</f>
        <v>98</v>
      </c>
      <c r="D6" s="2">
        <f>Config!$B$3</f>
        <v>25</v>
      </c>
      <c r="E6" s="2">
        <f t="shared" si="0"/>
        <v>4</v>
      </c>
      <c r="F6" s="4">
        <v>3</v>
      </c>
      <c r="G6" s="4">
        <v>6</v>
      </c>
      <c r="H6" s="2" t="str">
        <f t="shared" si="1"/>
        <v>OK - 4 sections on 3 staff; must sit in different columns</v>
      </c>
    </row>
    <row r="7" spans="1:8" ht="15" customHeight="1" x14ac:dyDescent="0.3">
      <c r="A7" s="3" t="s">
        <v>51</v>
      </c>
      <c r="B7" s="2" t="s">
        <v>80</v>
      </c>
      <c r="C7" s="2">
        <f>SUM(Matrix!F$2:F$267)</f>
        <v>66</v>
      </c>
      <c r="D7" s="2">
        <f>Config!$B$3</f>
        <v>25</v>
      </c>
      <c r="E7" s="2">
        <f t="shared" si="0"/>
        <v>3</v>
      </c>
      <c r="F7" s="4">
        <v>3</v>
      </c>
      <c r="G7" s="4">
        <v>3</v>
      </c>
      <c r="H7" s="2" t="str">
        <f t="shared" si="1"/>
        <v>OK - pool covers floor</v>
      </c>
    </row>
    <row r="8" spans="1:8" ht="15" customHeight="1" x14ac:dyDescent="0.3">
      <c r="A8" s="3" t="s">
        <v>56</v>
      </c>
      <c r="B8" s="2" t="s">
        <v>80</v>
      </c>
      <c r="C8" s="2">
        <f>SUM(Matrix!G$2:G$267)</f>
        <v>33</v>
      </c>
      <c r="D8" s="2">
        <f>Config!$B$3</f>
        <v>25</v>
      </c>
      <c r="E8" s="2">
        <f t="shared" si="0"/>
        <v>2</v>
      </c>
      <c r="F8" s="4">
        <v>2</v>
      </c>
      <c r="G8" s="4">
        <v>2</v>
      </c>
      <c r="H8" s="2" t="str">
        <f t="shared" si="1"/>
        <v>OK - pool covers floor</v>
      </c>
    </row>
    <row r="9" spans="1:8" ht="15" customHeight="1" x14ac:dyDescent="0.3">
      <c r="A9" s="3" t="s">
        <v>65</v>
      </c>
      <c r="B9" s="2" t="s">
        <v>81</v>
      </c>
      <c r="C9" s="2">
        <f>SUM(Matrix!H$2:H$267)</f>
        <v>22</v>
      </c>
      <c r="D9" s="2">
        <f>Config!$B$3</f>
        <v>25</v>
      </c>
      <c r="E9" s="2">
        <f t="shared" si="0"/>
        <v>1</v>
      </c>
      <c r="F9" s="4">
        <v>1</v>
      </c>
      <c r="G9" s="4">
        <v>1</v>
      </c>
      <c r="H9" s="2" t="str">
        <f t="shared" si="1"/>
        <v>OK - pool covers floor</v>
      </c>
    </row>
    <row r="10" spans="1:8" ht="15" customHeight="1" x14ac:dyDescent="0.3">
      <c r="A10" s="3" t="s">
        <v>52</v>
      </c>
      <c r="B10" s="2" t="s">
        <v>81</v>
      </c>
      <c r="C10" s="2">
        <f>SUM(Matrix!I$2:I$267)</f>
        <v>79</v>
      </c>
      <c r="D10" s="2">
        <f>Config!$B$3</f>
        <v>25</v>
      </c>
      <c r="E10" s="2">
        <f t="shared" si="0"/>
        <v>4</v>
      </c>
      <c r="F10" s="4">
        <v>4</v>
      </c>
      <c r="G10" s="4">
        <v>4</v>
      </c>
      <c r="H10" s="2" t="str">
        <f t="shared" si="1"/>
        <v>OK - pool covers floor</v>
      </c>
    </row>
    <row r="11" spans="1:8" ht="15" customHeight="1" x14ac:dyDescent="0.3">
      <c r="A11" s="3" t="s">
        <v>58</v>
      </c>
      <c r="B11" s="2" t="s">
        <v>81</v>
      </c>
      <c r="C11" s="2">
        <f>SUM(Matrix!J$2:J$267)</f>
        <v>55</v>
      </c>
      <c r="D11" s="2">
        <f>Config!$B$3</f>
        <v>25</v>
      </c>
      <c r="E11" s="2">
        <f t="shared" si="0"/>
        <v>3</v>
      </c>
      <c r="F11" s="4">
        <v>1</v>
      </c>
      <c r="G11" s="4">
        <v>3</v>
      </c>
      <c r="H11" s="2" t="str">
        <f t="shared" si="1"/>
        <v>OK - 3 sections on 1 staff; must sit in different columns</v>
      </c>
    </row>
    <row r="12" spans="1:8" ht="15" customHeight="1" x14ac:dyDescent="0.3">
      <c r="A12" s="3" t="s">
        <v>53</v>
      </c>
      <c r="B12" s="2" t="s">
        <v>81</v>
      </c>
      <c r="C12" s="2">
        <f>SUM(Matrix!K$2:K$267)</f>
        <v>21</v>
      </c>
      <c r="D12" s="2">
        <f>Config!$B$3</f>
        <v>25</v>
      </c>
      <c r="E12" s="2">
        <f t="shared" si="0"/>
        <v>1</v>
      </c>
      <c r="F12" s="4">
        <v>1</v>
      </c>
      <c r="G12" s="4">
        <v>1</v>
      </c>
      <c r="H12" s="2" t="str">
        <f t="shared" si="1"/>
        <v>OK - pool covers floor</v>
      </c>
    </row>
    <row r="13" spans="1:8" ht="15" customHeight="1" x14ac:dyDescent="0.3">
      <c r="A13" s="3" t="s">
        <v>59</v>
      </c>
      <c r="B13" s="2" t="s">
        <v>81</v>
      </c>
      <c r="C13" s="2">
        <f>SUM(Matrix!L$2:L$267)</f>
        <v>16</v>
      </c>
      <c r="D13" s="2">
        <f>Config!$B$3</f>
        <v>25</v>
      </c>
      <c r="E13" s="2">
        <f t="shared" si="0"/>
        <v>1</v>
      </c>
      <c r="F13" s="4">
        <v>1</v>
      </c>
      <c r="G13" s="4">
        <v>2</v>
      </c>
      <c r="H13" s="2" t="str">
        <f t="shared" si="1"/>
        <v>OK - pool covers floor</v>
      </c>
    </row>
    <row r="14" spans="1:8" ht="15" customHeight="1" x14ac:dyDescent="0.3">
      <c r="A14" s="3" t="s">
        <v>60</v>
      </c>
      <c r="B14" s="2" t="s">
        <v>81</v>
      </c>
      <c r="C14" s="2">
        <f>SUM(Matrix!M$2:M$267)</f>
        <v>22</v>
      </c>
      <c r="D14" s="2">
        <f>Config!$B$3</f>
        <v>25</v>
      </c>
      <c r="E14" s="2">
        <f t="shared" si="0"/>
        <v>1</v>
      </c>
      <c r="F14" s="4">
        <v>1</v>
      </c>
      <c r="G14" s="4">
        <v>2</v>
      </c>
      <c r="H14" s="2" t="str">
        <f t="shared" si="1"/>
        <v>OK - pool covers floor</v>
      </c>
    </row>
    <row r="15" spans="1:8" ht="15" customHeight="1" x14ac:dyDescent="0.3">
      <c r="A15" s="3" t="s">
        <v>63</v>
      </c>
      <c r="B15" s="2" t="s">
        <v>81</v>
      </c>
      <c r="C15" s="2">
        <f>SUM(Matrix!N$2:N$267)</f>
        <v>17</v>
      </c>
      <c r="D15" s="2">
        <f>Config!$B$3</f>
        <v>25</v>
      </c>
      <c r="E15" s="2">
        <f t="shared" si="0"/>
        <v>1</v>
      </c>
      <c r="F15" s="4">
        <v>1</v>
      </c>
      <c r="G15" s="4">
        <v>1</v>
      </c>
      <c r="H15" s="2" t="str">
        <f t="shared" si="1"/>
        <v>OK - pool covers floor</v>
      </c>
    </row>
    <row r="16" spans="1:8" ht="15" customHeight="1" x14ac:dyDescent="0.3">
      <c r="A16" s="3" t="s">
        <v>68</v>
      </c>
      <c r="B16" s="2" t="s">
        <v>81</v>
      </c>
      <c r="C16" s="2">
        <f>SUM(Matrix!O$2:O$267)</f>
        <v>2</v>
      </c>
      <c r="D16" s="2">
        <f>Config!$B$3</f>
        <v>25</v>
      </c>
      <c r="E16" s="2">
        <f t="shared" si="0"/>
        <v>1</v>
      </c>
      <c r="F16" s="4">
        <v>1</v>
      </c>
      <c r="G16" s="4">
        <v>1</v>
      </c>
      <c r="H16" s="2" t="str">
        <f t="shared" si="1"/>
        <v>OK - pool covers floor</v>
      </c>
    </row>
    <row r="17" spans="1:8" ht="15" customHeight="1" x14ac:dyDescent="0.3">
      <c r="A17" s="3" t="s">
        <v>67</v>
      </c>
      <c r="B17" s="2" t="s">
        <v>81</v>
      </c>
      <c r="C17" s="2">
        <f>SUM(Matrix!P$2:P$267)</f>
        <v>14</v>
      </c>
      <c r="D17" s="2">
        <f>Config!$B$3</f>
        <v>25</v>
      </c>
      <c r="E17" s="2">
        <f t="shared" si="0"/>
        <v>1</v>
      </c>
      <c r="F17" s="4">
        <v>1</v>
      </c>
      <c r="G17" s="4">
        <v>1</v>
      </c>
      <c r="H17" s="2" t="str">
        <f t="shared" si="1"/>
        <v>OK - pool covers floor</v>
      </c>
    </row>
    <row r="18" spans="1:8" ht="15" customHeight="1" x14ac:dyDescent="0.3">
      <c r="A18" s="3" t="s">
        <v>61</v>
      </c>
      <c r="B18" s="2" t="s">
        <v>81</v>
      </c>
      <c r="C18" s="2">
        <f>SUM(Matrix!Q$2:Q$267)</f>
        <v>15</v>
      </c>
      <c r="D18" s="2">
        <f>Config!$B$3</f>
        <v>25</v>
      </c>
      <c r="E18" s="2">
        <f t="shared" si="0"/>
        <v>1</v>
      </c>
      <c r="F18" s="4">
        <v>1</v>
      </c>
      <c r="G18" s="4">
        <v>1</v>
      </c>
      <c r="H18" s="2" t="str">
        <f t="shared" si="1"/>
        <v>OK - pool covers floor</v>
      </c>
    </row>
    <row r="19" spans="1:8" ht="15" customHeight="1" x14ac:dyDescent="0.3">
      <c r="A19" s="3" t="s">
        <v>54</v>
      </c>
      <c r="B19" s="2" t="s">
        <v>81</v>
      </c>
      <c r="C19" s="2">
        <f>SUM(Matrix!R$2:R$267)</f>
        <v>11</v>
      </c>
      <c r="D19" s="2">
        <f>Config!$B$3</f>
        <v>25</v>
      </c>
      <c r="E19" s="2">
        <f t="shared" si="0"/>
        <v>1</v>
      </c>
      <c r="F19" s="4">
        <v>1</v>
      </c>
      <c r="G19" s="4">
        <v>1</v>
      </c>
      <c r="H19" s="2" t="str">
        <f t="shared" si="1"/>
        <v>OK - pool covers floor</v>
      </c>
    </row>
    <row r="20" spans="1:8" ht="15" customHeight="1" x14ac:dyDescent="0.3">
      <c r="A20" s="3" t="s">
        <v>64</v>
      </c>
      <c r="B20" s="2" t="s">
        <v>81</v>
      </c>
      <c r="C20" s="2">
        <f>SUM(Matrix!S$2:S$267)</f>
        <v>42</v>
      </c>
      <c r="D20" s="2">
        <f>Config!$B$3</f>
        <v>25</v>
      </c>
      <c r="E20" s="2">
        <f t="shared" si="0"/>
        <v>2</v>
      </c>
      <c r="F20" s="4">
        <v>2</v>
      </c>
      <c r="G20" s="4">
        <v>2</v>
      </c>
      <c r="H20" s="2" t="str">
        <f t="shared" si="1"/>
        <v>OK - pool covers floor</v>
      </c>
    </row>
    <row r="21" spans="1:8" ht="15" customHeight="1" x14ac:dyDescent="0.3">
      <c r="A21" s="3" t="s">
        <v>66</v>
      </c>
      <c r="B21" s="2" t="s">
        <v>81</v>
      </c>
      <c r="C21" s="2">
        <f>SUM(Matrix!T$2:T$267)</f>
        <v>4</v>
      </c>
      <c r="D21" s="2">
        <f>Config!$B$3</f>
        <v>25</v>
      </c>
      <c r="E21" s="2">
        <f t="shared" si="0"/>
        <v>1</v>
      </c>
      <c r="F21" s="4">
        <v>1</v>
      </c>
      <c r="G21" s="4">
        <v>1</v>
      </c>
      <c r="H21" s="2" t="str">
        <f t="shared" si="1"/>
        <v>OK - pool covers floor</v>
      </c>
    </row>
    <row r="22" spans="1:8" ht="15" customHeight="1" x14ac:dyDescent="0.3">
      <c r="A22" s="3" t="s">
        <v>55</v>
      </c>
      <c r="B22" s="2" t="s">
        <v>81</v>
      </c>
      <c r="C22" s="2">
        <f>SUM(Matrix!U$2:U$267)</f>
        <v>53</v>
      </c>
      <c r="D22" s="2">
        <f>Config!$B$3</f>
        <v>25</v>
      </c>
      <c r="E22" s="2">
        <f t="shared" si="0"/>
        <v>3</v>
      </c>
      <c r="F22" s="4">
        <v>2</v>
      </c>
      <c r="G22" s="4">
        <v>4</v>
      </c>
      <c r="H22" s="2" t="str">
        <f t="shared" si="1"/>
        <v>OK - 3 sections on 2 staff; must sit in different columns</v>
      </c>
    </row>
    <row r="23" spans="1:8" ht="15" customHeight="1" x14ac:dyDescent="0.3">
      <c r="A23" s="3" t="s">
        <v>62</v>
      </c>
      <c r="B23" s="2" t="s">
        <v>81</v>
      </c>
      <c r="C23" s="2">
        <f>SUM(Matrix!V$2:V$267)</f>
        <v>21</v>
      </c>
      <c r="D23" s="2">
        <f>Config!$B$3</f>
        <v>25</v>
      </c>
      <c r="E23" s="2">
        <f t="shared" si="0"/>
        <v>1</v>
      </c>
      <c r="F23" s="4">
        <v>1</v>
      </c>
      <c r="G23" s="4">
        <v>2</v>
      </c>
      <c r="H23" s="2" t="str">
        <f t="shared" si="1"/>
        <v>OK - pool covers floor</v>
      </c>
    </row>
    <row r="24" spans="1:8" ht="15" customHeight="1" x14ac:dyDescent="0.3">
      <c r="A24" s="3" t="s">
        <v>57</v>
      </c>
      <c r="B24" s="2" t="s">
        <v>81</v>
      </c>
      <c r="C24" s="2">
        <f>SUM(Matrix!W$2:W$267)</f>
        <v>16</v>
      </c>
      <c r="D24" s="2">
        <f>Config!$B$3</f>
        <v>25</v>
      </c>
      <c r="E24" s="2">
        <f t="shared" si="0"/>
        <v>1</v>
      </c>
      <c r="F24" s="4">
        <v>1</v>
      </c>
      <c r="G24" s="4">
        <v>1</v>
      </c>
      <c r="H24" s="2" t="str">
        <f t="shared" si="1"/>
        <v>OK - pool covers floor</v>
      </c>
    </row>
    <row r="26" spans="1:8" ht="15" customHeight="1" x14ac:dyDescent="0.3">
      <c r="A26" s="3" t="s">
        <v>82</v>
      </c>
      <c r="E26" s="3">
        <f>SUM(E9:E24)</f>
        <v>24</v>
      </c>
    </row>
    <row r="27" spans="1:8" ht="15" customHeight="1" x14ac:dyDescent="0.3">
      <c r="A27" s="5" t="s">
        <v>83</v>
      </c>
      <c r="B27" s="5" t="s">
        <v>84</v>
      </c>
    </row>
    <row r="28" spans="1:8" ht="15" customHeight="1" x14ac:dyDescent="0.3">
      <c r="B28" s="5" t="s">
        <v>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2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Q5" sqref="Q5"/>
    </sheetView>
  </sheetViews>
  <sheetFormatPr defaultColWidth="8.6640625" defaultRowHeight="14.4" x14ac:dyDescent="0.3"/>
  <cols>
    <col min="1" max="1" width="10" customWidth="1"/>
    <col min="2" max="17" width="5.5546875" customWidth="1"/>
  </cols>
  <sheetData>
    <row r="1" spans="1:17" ht="17.25" customHeight="1" x14ac:dyDescent="0.3">
      <c r="A1" s="1" t="s">
        <v>86</v>
      </c>
    </row>
    <row r="2" spans="1:17" ht="15" customHeight="1" x14ac:dyDescent="0.3">
      <c r="A2" s="5" t="s">
        <v>87</v>
      </c>
    </row>
    <row r="4" spans="1:17" ht="15" customHeight="1" x14ac:dyDescent="0.3">
      <c r="B4" s="6" t="s">
        <v>65</v>
      </c>
      <c r="C4" s="6" t="s">
        <v>52</v>
      </c>
      <c r="D4" s="6" t="s">
        <v>58</v>
      </c>
      <c r="E4" s="6" t="s">
        <v>53</v>
      </c>
      <c r="F4" s="6" t="s">
        <v>59</v>
      </c>
      <c r="G4" s="6" t="s">
        <v>60</v>
      </c>
      <c r="H4" s="6" t="s">
        <v>63</v>
      </c>
      <c r="I4" s="6" t="s">
        <v>68</v>
      </c>
      <c r="J4" s="6" t="s">
        <v>67</v>
      </c>
      <c r="K4" s="6" t="s">
        <v>61</v>
      </c>
      <c r="L4" s="6" t="s">
        <v>54</v>
      </c>
      <c r="M4" s="6" t="s">
        <v>64</v>
      </c>
      <c r="N4" s="6" t="s">
        <v>66</v>
      </c>
      <c r="O4" s="6" t="s">
        <v>55</v>
      </c>
      <c r="P4" s="6" t="s">
        <v>62</v>
      </c>
      <c r="Q4" s="6" t="s">
        <v>57</v>
      </c>
    </row>
    <row r="5" spans="1:17" ht="15" customHeight="1" x14ac:dyDescent="0.3">
      <c r="A5" s="3" t="s">
        <v>65</v>
      </c>
      <c r="B5" s="2">
        <f>SUMPRODUCT(INDEX(Matrix!$H$2:$W$267,0,ROW()-4),INDEX(Matrix!$H$2:$W$267,0,COLUMN()-1))</f>
        <v>22</v>
      </c>
      <c r="C5" s="2">
        <f>SUMPRODUCT(INDEX(Matrix!$H$2:$W$267,0,ROW()-4),INDEX(Matrix!$H$2:$W$267,0,COLUMN()-1))</f>
        <v>21</v>
      </c>
      <c r="D5" s="2">
        <f>SUMPRODUCT(INDEX(Matrix!$H$2:$W$267,0,ROW()-4),INDEX(Matrix!$H$2:$W$267,0,COLUMN()-1))</f>
        <v>11</v>
      </c>
      <c r="E5" s="2">
        <f>SUMPRODUCT(INDEX(Matrix!$H$2:$W$267,0,ROW()-4),INDEX(Matrix!$H$2:$W$267,0,COLUMN()-1))</f>
        <v>5</v>
      </c>
      <c r="F5" s="2">
        <f>SUMPRODUCT(INDEX(Matrix!$H$2:$W$267,0,ROW()-4),INDEX(Matrix!$H$2:$W$267,0,COLUMN()-1))</f>
        <v>1</v>
      </c>
      <c r="G5" s="2">
        <f>SUMPRODUCT(INDEX(Matrix!$H$2:$W$267,0,ROW()-4),INDEX(Matrix!$H$2:$W$267,0,COLUMN()-1))</f>
        <v>3</v>
      </c>
      <c r="H5" s="2">
        <f>SUMPRODUCT(INDEX(Matrix!$H$2:$W$267,0,ROW()-4),INDEX(Matrix!$H$2:$W$267,0,COLUMN()-1))</f>
        <v>2</v>
      </c>
      <c r="I5" s="2">
        <f>SUMPRODUCT(INDEX(Matrix!$H$2:$W$267,0,ROW()-4),INDEX(Matrix!$H$2:$W$267,0,COLUMN()-1))</f>
        <v>0</v>
      </c>
      <c r="J5" s="2">
        <f>SUMPRODUCT(INDEX(Matrix!$H$2:$W$267,0,ROW()-4),INDEX(Matrix!$H$2:$W$267,0,COLUMN()-1))</f>
        <v>1</v>
      </c>
      <c r="K5" s="2">
        <f>SUMPRODUCT(INDEX(Matrix!$H$2:$W$267,0,ROW()-4),INDEX(Matrix!$H$2:$W$267,0,COLUMN()-1))</f>
        <v>2</v>
      </c>
      <c r="L5" s="2">
        <f>SUMPRODUCT(INDEX(Matrix!$H$2:$W$267,0,ROW()-4),INDEX(Matrix!$H$2:$W$267,0,COLUMN()-1))</f>
        <v>2</v>
      </c>
      <c r="M5" s="2">
        <f>SUMPRODUCT(INDEX(Matrix!$H$2:$W$267,0,ROW()-4),INDEX(Matrix!$H$2:$W$267,0,COLUMN()-1))</f>
        <v>5</v>
      </c>
      <c r="N5" s="2">
        <f>SUMPRODUCT(INDEX(Matrix!$H$2:$W$267,0,ROW()-4),INDEX(Matrix!$H$2:$W$267,0,COLUMN()-1))</f>
        <v>1</v>
      </c>
      <c r="O5" s="2">
        <f>SUMPRODUCT(INDEX(Matrix!$H$2:$W$267,0,ROW()-4),INDEX(Matrix!$H$2:$W$267,0,COLUMN()-1))</f>
        <v>14</v>
      </c>
      <c r="P5" s="2">
        <f>SUMPRODUCT(INDEX(Matrix!$H$2:$W$267,0,ROW()-4),INDEX(Matrix!$H$2:$W$267,0,COLUMN()-1))</f>
        <v>1</v>
      </c>
      <c r="Q5" s="2">
        <f>SUMPRODUCT(INDEX(Matrix!$H$2:$W$267,0,ROW()-4),INDEX(Matrix!$H$2:$W$267,0,COLUMN()-1))</f>
        <v>1</v>
      </c>
    </row>
    <row r="6" spans="1:17" ht="15" customHeight="1" x14ac:dyDescent="0.3">
      <c r="A6" s="3" t="s">
        <v>52</v>
      </c>
      <c r="B6" s="2">
        <f>SUMPRODUCT(INDEX(Matrix!$H$2:$W$267,0,ROW()-4),INDEX(Matrix!$H$2:$W$267,0,COLUMN()-1))</f>
        <v>21</v>
      </c>
      <c r="C6" s="2">
        <f>SUMPRODUCT(INDEX(Matrix!$H$2:$W$267,0,ROW()-4),INDEX(Matrix!$H$2:$W$267,0,COLUMN()-1))</f>
        <v>79</v>
      </c>
      <c r="D6" s="2">
        <f>SUMPRODUCT(INDEX(Matrix!$H$2:$W$267,0,ROW()-4),INDEX(Matrix!$H$2:$W$267,0,COLUMN()-1))</f>
        <v>43</v>
      </c>
      <c r="E6" s="2">
        <f>SUMPRODUCT(INDEX(Matrix!$H$2:$W$267,0,ROW()-4),INDEX(Matrix!$H$2:$W$267,0,COLUMN()-1))</f>
        <v>19</v>
      </c>
      <c r="F6" s="2">
        <f>SUMPRODUCT(INDEX(Matrix!$H$2:$W$267,0,ROW()-4),INDEX(Matrix!$H$2:$W$267,0,COLUMN()-1))</f>
        <v>11</v>
      </c>
      <c r="G6" s="2">
        <f>SUMPRODUCT(INDEX(Matrix!$H$2:$W$267,0,ROW()-4),INDEX(Matrix!$H$2:$W$267,0,COLUMN()-1))</f>
        <v>14</v>
      </c>
      <c r="H6" s="2">
        <f>SUMPRODUCT(INDEX(Matrix!$H$2:$W$267,0,ROW()-4),INDEX(Matrix!$H$2:$W$267,0,COLUMN()-1))</f>
        <v>15</v>
      </c>
      <c r="I6" s="2">
        <f>SUMPRODUCT(INDEX(Matrix!$H$2:$W$267,0,ROW()-4),INDEX(Matrix!$H$2:$W$267,0,COLUMN()-1))</f>
        <v>0</v>
      </c>
      <c r="J6" s="2">
        <f>SUMPRODUCT(INDEX(Matrix!$H$2:$W$267,0,ROW()-4),INDEX(Matrix!$H$2:$W$267,0,COLUMN()-1))</f>
        <v>7</v>
      </c>
      <c r="K6" s="2">
        <f>SUMPRODUCT(INDEX(Matrix!$H$2:$W$267,0,ROW()-4),INDEX(Matrix!$H$2:$W$267,0,COLUMN()-1))</f>
        <v>12</v>
      </c>
      <c r="L6" s="2">
        <f>SUMPRODUCT(INDEX(Matrix!$H$2:$W$267,0,ROW()-4),INDEX(Matrix!$H$2:$W$267,0,COLUMN()-1))</f>
        <v>11</v>
      </c>
      <c r="M6" s="2">
        <f>SUMPRODUCT(INDEX(Matrix!$H$2:$W$267,0,ROW()-4),INDEX(Matrix!$H$2:$W$267,0,COLUMN()-1))</f>
        <v>33</v>
      </c>
      <c r="N6" s="2">
        <f>SUMPRODUCT(INDEX(Matrix!$H$2:$W$267,0,ROW()-4),INDEX(Matrix!$H$2:$W$267,0,COLUMN()-1))</f>
        <v>3</v>
      </c>
      <c r="O6" s="2">
        <f>SUMPRODUCT(INDEX(Matrix!$H$2:$W$267,0,ROW()-4),INDEX(Matrix!$H$2:$W$267,0,COLUMN()-1))</f>
        <v>47</v>
      </c>
      <c r="P6" s="2">
        <f>SUMPRODUCT(INDEX(Matrix!$H$2:$W$267,0,ROW()-4),INDEX(Matrix!$H$2:$W$267,0,COLUMN()-1))</f>
        <v>14</v>
      </c>
      <c r="Q6" s="2">
        <f>SUMPRODUCT(INDEX(Matrix!$H$2:$W$267,0,ROW()-4),INDEX(Matrix!$H$2:$W$267,0,COLUMN()-1))</f>
        <v>0</v>
      </c>
    </row>
    <row r="7" spans="1:17" ht="15" customHeight="1" x14ac:dyDescent="0.3">
      <c r="A7" s="3" t="s">
        <v>58</v>
      </c>
      <c r="B7" s="2">
        <f>SUMPRODUCT(INDEX(Matrix!$H$2:$W$267,0,ROW()-4),INDEX(Matrix!$H$2:$W$267,0,COLUMN()-1))</f>
        <v>11</v>
      </c>
      <c r="C7" s="2">
        <f>SUMPRODUCT(INDEX(Matrix!$H$2:$W$267,0,ROW()-4),INDEX(Matrix!$H$2:$W$267,0,COLUMN()-1))</f>
        <v>43</v>
      </c>
      <c r="D7" s="2">
        <f>SUMPRODUCT(INDEX(Matrix!$H$2:$W$267,0,ROW()-4),INDEX(Matrix!$H$2:$W$267,0,COLUMN()-1))</f>
        <v>55</v>
      </c>
      <c r="E7" s="2">
        <f>SUMPRODUCT(INDEX(Matrix!$H$2:$W$267,0,ROW()-4),INDEX(Matrix!$H$2:$W$267,0,COLUMN()-1))</f>
        <v>12</v>
      </c>
      <c r="F7" s="2">
        <f>SUMPRODUCT(INDEX(Matrix!$H$2:$W$267,0,ROW()-4),INDEX(Matrix!$H$2:$W$267,0,COLUMN()-1))</f>
        <v>14</v>
      </c>
      <c r="G7" s="2">
        <f>SUMPRODUCT(INDEX(Matrix!$H$2:$W$267,0,ROW()-4),INDEX(Matrix!$H$2:$W$267,0,COLUMN()-1))</f>
        <v>14</v>
      </c>
      <c r="H7" s="2">
        <f>SUMPRODUCT(INDEX(Matrix!$H$2:$W$267,0,ROW()-4),INDEX(Matrix!$H$2:$W$267,0,COLUMN()-1))</f>
        <v>4</v>
      </c>
      <c r="I7" s="2">
        <f>SUMPRODUCT(INDEX(Matrix!$H$2:$W$267,0,ROW()-4),INDEX(Matrix!$H$2:$W$267,0,COLUMN()-1))</f>
        <v>0</v>
      </c>
      <c r="J7" s="2">
        <f>SUMPRODUCT(INDEX(Matrix!$H$2:$W$267,0,ROW()-4),INDEX(Matrix!$H$2:$W$267,0,COLUMN()-1))</f>
        <v>9</v>
      </c>
      <c r="K7" s="2">
        <f>SUMPRODUCT(INDEX(Matrix!$H$2:$W$267,0,ROW()-4),INDEX(Matrix!$H$2:$W$267,0,COLUMN()-1))</f>
        <v>13</v>
      </c>
      <c r="L7" s="2">
        <f>SUMPRODUCT(INDEX(Matrix!$H$2:$W$267,0,ROW()-4),INDEX(Matrix!$H$2:$W$267,0,COLUMN()-1))</f>
        <v>0</v>
      </c>
      <c r="M7" s="2">
        <f>SUMPRODUCT(INDEX(Matrix!$H$2:$W$267,0,ROW()-4),INDEX(Matrix!$H$2:$W$267,0,COLUMN()-1))</f>
        <v>22</v>
      </c>
      <c r="N7" s="2">
        <f>SUMPRODUCT(INDEX(Matrix!$H$2:$W$267,0,ROW()-4),INDEX(Matrix!$H$2:$W$267,0,COLUMN()-1))</f>
        <v>0</v>
      </c>
      <c r="O7" s="2">
        <f>SUMPRODUCT(INDEX(Matrix!$H$2:$W$267,0,ROW()-4),INDEX(Matrix!$H$2:$W$267,0,COLUMN()-1))</f>
        <v>19</v>
      </c>
      <c r="P7" s="2">
        <f>SUMPRODUCT(INDEX(Matrix!$H$2:$W$267,0,ROW()-4),INDEX(Matrix!$H$2:$W$267,0,COLUMN()-1))</f>
        <v>5</v>
      </c>
      <c r="Q7" s="2">
        <f>SUMPRODUCT(INDEX(Matrix!$H$2:$W$267,0,ROW()-4),INDEX(Matrix!$H$2:$W$267,0,COLUMN()-1))</f>
        <v>10</v>
      </c>
    </row>
    <row r="8" spans="1:17" ht="15" customHeight="1" x14ac:dyDescent="0.3">
      <c r="A8" s="3" t="s">
        <v>53</v>
      </c>
      <c r="B8" s="2">
        <f>SUMPRODUCT(INDEX(Matrix!$H$2:$W$267,0,ROW()-4),INDEX(Matrix!$H$2:$W$267,0,COLUMN()-1))</f>
        <v>5</v>
      </c>
      <c r="C8" s="2">
        <f>SUMPRODUCT(INDEX(Matrix!$H$2:$W$267,0,ROW()-4),INDEX(Matrix!$H$2:$W$267,0,COLUMN()-1))</f>
        <v>19</v>
      </c>
      <c r="D8" s="2">
        <f>SUMPRODUCT(INDEX(Matrix!$H$2:$W$267,0,ROW()-4),INDEX(Matrix!$H$2:$W$267,0,COLUMN()-1))</f>
        <v>12</v>
      </c>
      <c r="E8" s="2">
        <f>SUMPRODUCT(INDEX(Matrix!$H$2:$W$267,0,ROW()-4),INDEX(Matrix!$H$2:$W$267,0,COLUMN()-1))</f>
        <v>21</v>
      </c>
      <c r="F8" s="2">
        <f>SUMPRODUCT(INDEX(Matrix!$H$2:$W$267,0,ROW()-4),INDEX(Matrix!$H$2:$W$267,0,COLUMN()-1))</f>
        <v>2</v>
      </c>
      <c r="G8" s="2">
        <f>SUMPRODUCT(INDEX(Matrix!$H$2:$W$267,0,ROW()-4),INDEX(Matrix!$H$2:$W$267,0,COLUMN()-1))</f>
        <v>1</v>
      </c>
      <c r="H8" s="2">
        <f>SUMPRODUCT(INDEX(Matrix!$H$2:$W$267,0,ROW()-4),INDEX(Matrix!$H$2:$W$267,0,COLUMN()-1))</f>
        <v>2</v>
      </c>
      <c r="I8" s="2">
        <f>SUMPRODUCT(INDEX(Matrix!$H$2:$W$267,0,ROW()-4),INDEX(Matrix!$H$2:$W$267,0,COLUMN()-1))</f>
        <v>0</v>
      </c>
      <c r="J8" s="2">
        <f>SUMPRODUCT(INDEX(Matrix!$H$2:$W$267,0,ROW()-4),INDEX(Matrix!$H$2:$W$267,0,COLUMN()-1))</f>
        <v>3</v>
      </c>
      <c r="K8" s="2">
        <f>SUMPRODUCT(INDEX(Matrix!$H$2:$W$267,0,ROW()-4),INDEX(Matrix!$H$2:$W$267,0,COLUMN()-1))</f>
        <v>1</v>
      </c>
      <c r="L8" s="2">
        <f>SUMPRODUCT(INDEX(Matrix!$H$2:$W$267,0,ROW()-4),INDEX(Matrix!$H$2:$W$267,0,COLUMN()-1))</f>
        <v>3</v>
      </c>
      <c r="M8" s="2">
        <f>SUMPRODUCT(INDEX(Matrix!$H$2:$W$267,0,ROW()-4),INDEX(Matrix!$H$2:$W$267,0,COLUMN()-1))</f>
        <v>4</v>
      </c>
      <c r="N8" s="2">
        <f>SUMPRODUCT(INDEX(Matrix!$H$2:$W$267,0,ROW()-4),INDEX(Matrix!$H$2:$W$267,0,COLUMN()-1))</f>
        <v>0</v>
      </c>
      <c r="O8" s="2">
        <f>SUMPRODUCT(INDEX(Matrix!$H$2:$W$267,0,ROW()-4),INDEX(Matrix!$H$2:$W$267,0,COLUMN()-1))</f>
        <v>10</v>
      </c>
      <c r="P8" s="2">
        <f>SUMPRODUCT(INDEX(Matrix!$H$2:$W$267,0,ROW()-4),INDEX(Matrix!$H$2:$W$267,0,COLUMN()-1))</f>
        <v>4</v>
      </c>
      <c r="Q8" s="2">
        <f>SUMPRODUCT(INDEX(Matrix!$H$2:$W$267,0,ROW()-4),INDEX(Matrix!$H$2:$W$267,0,COLUMN()-1))</f>
        <v>2</v>
      </c>
    </row>
    <row r="9" spans="1:17" ht="15" customHeight="1" x14ac:dyDescent="0.3">
      <c r="A9" s="3" t="s">
        <v>59</v>
      </c>
      <c r="B9" s="2">
        <f>SUMPRODUCT(INDEX(Matrix!$H$2:$W$267,0,ROW()-4),INDEX(Matrix!$H$2:$W$267,0,COLUMN()-1))</f>
        <v>1</v>
      </c>
      <c r="C9" s="2">
        <f>SUMPRODUCT(INDEX(Matrix!$H$2:$W$267,0,ROW()-4),INDEX(Matrix!$H$2:$W$267,0,COLUMN()-1))</f>
        <v>11</v>
      </c>
      <c r="D9" s="2">
        <f>SUMPRODUCT(INDEX(Matrix!$H$2:$W$267,0,ROW()-4),INDEX(Matrix!$H$2:$W$267,0,COLUMN()-1))</f>
        <v>14</v>
      </c>
      <c r="E9" s="2">
        <f>SUMPRODUCT(INDEX(Matrix!$H$2:$W$267,0,ROW()-4),INDEX(Matrix!$H$2:$W$267,0,COLUMN()-1))</f>
        <v>2</v>
      </c>
      <c r="F9" s="2">
        <f>SUMPRODUCT(INDEX(Matrix!$H$2:$W$267,0,ROW()-4),INDEX(Matrix!$H$2:$W$267,0,COLUMN()-1))</f>
        <v>16</v>
      </c>
      <c r="G9" s="2">
        <f>SUMPRODUCT(INDEX(Matrix!$H$2:$W$267,0,ROW()-4),INDEX(Matrix!$H$2:$W$267,0,COLUMN()-1))</f>
        <v>4</v>
      </c>
      <c r="H9" s="2">
        <f>SUMPRODUCT(INDEX(Matrix!$H$2:$W$267,0,ROW()-4),INDEX(Matrix!$H$2:$W$267,0,COLUMN()-1))</f>
        <v>0</v>
      </c>
      <c r="I9" s="2">
        <f>SUMPRODUCT(INDEX(Matrix!$H$2:$W$267,0,ROW()-4),INDEX(Matrix!$H$2:$W$267,0,COLUMN()-1))</f>
        <v>0</v>
      </c>
      <c r="J9" s="2">
        <f>SUMPRODUCT(INDEX(Matrix!$H$2:$W$267,0,ROW()-4),INDEX(Matrix!$H$2:$W$267,0,COLUMN()-1))</f>
        <v>1</v>
      </c>
      <c r="K9" s="2">
        <f>SUMPRODUCT(INDEX(Matrix!$H$2:$W$267,0,ROW()-4),INDEX(Matrix!$H$2:$W$267,0,COLUMN()-1))</f>
        <v>2</v>
      </c>
      <c r="L9" s="2">
        <f>SUMPRODUCT(INDEX(Matrix!$H$2:$W$267,0,ROW()-4),INDEX(Matrix!$H$2:$W$267,0,COLUMN()-1))</f>
        <v>0</v>
      </c>
      <c r="M9" s="2">
        <f>SUMPRODUCT(INDEX(Matrix!$H$2:$W$267,0,ROW()-4),INDEX(Matrix!$H$2:$W$267,0,COLUMN()-1))</f>
        <v>8</v>
      </c>
      <c r="N9" s="2">
        <f>SUMPRODUCT(INDEX(Matrix!$H$2:$W$267,0,ROW()-4),INDEX(Matrix!$H$2:$W$267,0,COLUMN()-1))</f>
        <v>0</v>
      </c>
      <c r="O9" s="2">
        <f>SUMPRODUCT(INDEX(Matrix!$H$2:$W$267,0,ROW()-4),INDEX(Matrix!$H$2:$W$267,0,COLUMN()-1))</f>
        <v>5</v>
      </c>
      <c r="P9" s="2">
        <f>SUMPRODUCT(INDEX(Matrix!$H$2:$W$267,0,ROW()-4),INDEX(Matrix!$H$2:$W$267,0,COLUMN()-1))</f>
        <v>0</v>
      </c>
      <c r="Q9" s="2">
        <f>SUMPRODUCT(INDEX(Matrix!$H$2:$W$267,0,ROW()-4),INDEX(Matrix!$H$2:$W$267,0,COLUMN()-1))</f>
        <v>5</v>
      </c>
    </row>
    <row r="10" spans="1:17" ht="15" customHeight="1" x14ac:dyDescent="0.3">
      <c r="A10" s="3" t="s">
        <v>60</v>
      </c>
      <c r="B10" s="2">
        <f>SUMPRODUCT(INDEX(Matrix!$H$2:$W$267,0,ROW()-4),INDEX(Matrix!$H$2:$W$267,0,COLUMN()-1))</f>
        <v>3</v>
      </c>
      <c r="C10" s="2">
        <f>SUMPRODUCT(INDEX(Matrix!$H$2:$W$267,0,ROW()-4),INDEX(Matrix!$H$2:$W$267,0,COLUMN()-1))</f>
        <v>14</v>
      </c>
      <c r="D10" s="2">
        <f>SUMPRODUCT(INDEX(Matrix!$H$2:$W$267,0,ROW()-4),INDEX(Matrix!$H$2:$W$267,0,COLUMN()-1))</f>
        <v>14</v>
      </c>
      <c r="E10" s="2">
        <f>SUMPRODUCT(INDEX(Matrix!$H$2:$W$267,0,ROW()-4),INDEX(Matrix!$H$2:$W$267,0,COLUMN()-1))</f>
        <v>1</v>
      </c>
      <c r="F10" s="2">
        <f>SUMPRODUCT(INDEX(Matrix!$H$2:$W$267,0,ROW()-4),INDEX(Matrix!$H$2:$W$267,0,COLUMN()-1))</f>
        <v>4</v>
      </c>
      <c r="G10" s="2">
        <f>SUMPRODUCT(INDEX(Matrix!$H$2:$W$267,0,ROW()-4),INDEX(Matrix!$H$2:$W$267,0,COLUMN()-1))</f>
        <v>22</v>
      </c>
      <c r="H10" s="2">
        <f>SUMPRODUCT(INDEX(Matrix!$H$2:$W$267,0,ROW()-4),INDEX(Matrix!$H$2:$W$267,0,COLUMN()-1))</f>
        <v>3</v>
      </c>
      <c r="I10" s="2">
        <f>SUMPRODUCT(INDEX(Matrix!$H$2:$W$267,0,ROW()-4),INDEX(Matrix!$H$2:$W$267,0,COLUMN()-1))</f>
        <v>0</v>
      </c>
      <c r="J10" s="2">
        <f>SUMPRODUCT(INDEX(Matrix!$H$2:$W$267,0,ROW()-4),INDEX(Matrix!$H$2:$W$267,0,COLUMN()-1))</f>
        <v>2</v>
      </c>
      <c r="K10" s="2">
        <f>SUMPRODUCT(INDEX(Matrix!$H$2:$W$267,0,ROW()-4),INDEX(Matrix!$H$2:$W$267,0,COLUMN()-1))</f>
        <v>4</v>
      </c>
      <c r="L10" s="2">
        <f>SUMPRODUCT(INDEX(Matrix!$H$2:$W$267,0,ROW()-4),INDEX(Matrix!$H$2:$W$267,0,COLUMN()-1))</f>
        <v>2</v>
      </c>
      <c r="M10" s="2">
        <f>SUMPRODUCT(INDEX(Matrix!$H$2:$W$267,0,ROW()-4),INDEX(Matrix!$H$2:$W$267,0,COLUMN()-1))</f>
        <v>6</v>
      </c>
      <c r="N10" s="2">
        <f>SUMPRODUCT(INDEX(Matrix!$H$2:$W$267,0,ROW()-4),INDEX(Matrix!$H$2:$W$267,0,COLUMN()-1))</f>
        <v>1</v>
      </c>
      <c r="O10" s="2">
        <f>SUMPRODUCT(INDEX(Matrix!$H$2:$W$267,0,ROW()-4),INDEX(Matrix!$H$2:$W$267,0,COLUMN()-1))</f>
        <v>5</v>
      </c>
      <c r="P10" s="2">
        <f>SUMPRODUCT(INDEX(Matrix!$H$2:$W$267,0,ROW()-4),INDEX(Matrix!$H$2:$W$267,0,COLUMN()-1))</f>
        <v>5</v>
      </c>
      <c r="Q10" s="2">
        <f>SUMPRODUCT(INDEX(Matrix!$H$2:$W$267,0,ROW()-4),INDEX(Matrix!$H$2:$W$267,0,COLUMN()-1))</f>
        <v>7</v>
      </c>
    </row>
    <row r="11" spans="1:17" ht="15" customHeight="1" x14ac:dyDescent="0.3">
      <c r="A11" s="3" t="s">
        <v>63</v>
      </c>
      <c r="B11" s="2">
        <f>SUMPRODUCT(INDEX(Matrix!$H$2:$W$267,0,ROW()-4),INDEX(Matrix!$H$2:$W$267,0,COLUMN()-1))</f>
        <v>2</v>
      </c>
      <c r="C11" s="2">
        <f>SUMPRODUCT(INDEX(Matrix!$H$2:$W$267,0,ROW()-4),INDEX(Matrix!$H$2:$W$267,0,COLUMN()-1))</f>
        <v>15</v>
      </c>
      <c r="D11" s="2">
        <f>SUMPRODUCT(INDEX(Matrix!$H$2:$W$267,0,ROW()-4),INDEX(Matrix!$H$2:$W$267,0,COLUMN()-1))</f>
        <v>4</v>
      </c>
      <c r="E11" s="2">
        <f>SUMPRODUCT(INDEX(Matrix!$H$2:$W$267,0,ROW()-4),INDEX(Matrix!$H$2:$W$267,0,COLUMN()-1))</f>
        <v>2</v>
      </c>
      <c r="F11" s="2">
        <f>SUMPRODUCT(INDEX(Matrix!$H$2:$W$267,0,ROW()-4),INDEX(Matrix!$H$2:$W$267,0,COLUMN()-1))</f>
        <v>0</v>
      </c>
      <c r="G11" s="2">
        <f>SUMPRODUCT(INDEX(Matrix!$H$2:$W$267,0,ROW()-4),INDEX(Matrix!$H$2:$W$267,0,COLUMN()-1))</f>
        <v>3</v>
      </c>
      <c r="H11" s="2">
        <f>SUMPRODUCT(INDEX(Matrix!$H$2:$W$267,0,ROW()-4),INDEX(Matrix!$H$2:$W$267,0,COLUMN()-1))</f>
        <v>17</v>
      </c>
      <c r="I11" s="2">
        <f>SUMPRODUCT(INDEX(Matrix!$H$2:$W$267,0,ROW()-4),INDEX(Matrix!$H$2:$W$267,0,COLUMN()-1))</f>
        <v>0</v>
      </c>
      <c r="J11" s="2">
        <f>SUMPRODUCT(INDEX(Matrix!$H$2:$W$267,0,ROW()-4),INDEX(Matrix!$H$2:$W$267,0,COLUMN()-1))</f>
        <v>0</v>
      </c>
      <c r="K11" s="2">
        <f>SUMPRODUCT(INDEX(Matrix!$H$2:$W$267,0,ROW()-4),INDEX(Matrix!$H$2:$W$267,0,COLUMN()-1))</f>
        <v>1</v>
      </c>
      <c r="L11" s="2">
        <f>SUMPRODUCT(INDEX(Matrix!$H$2:$W$267,0,ROW()-4),INDEX(Matrix!$H$2:$W$267,0,COLUMN()-1))</f>
        <v>4</v>
      </c>
      <c r="M11" s="2">
        <f>SUMPRODUCT(INDEX(Matrix!$H$2:$W$267,0,ROW()-4),INDEX(Matrix!$H$2:$W$267,0,COLUMN()-1))</f>
        <v>4</v>
      </c>
      <c r="N11" s="2">
        <f>SUMPRODUCT(INDEX(Matrix!$H$2:$W$267,0,ROW()-4),INDEX(Matrix!$H$2:$W$267,0,COLUMN()-1))</f>
        <v>2</v>
      </c>
      <c r="O11" s="2">
        <f>SUMPRODUCT(INDEX(Matrix!$H$2:$W$267,0,ROW()-4),INDEX(Matrix!$H$2:$W$267,0,COLUMN()-1))</f>
        <v>11</v>
      </c>
      <c r="P11" s="2">
        <f>SUMPRODUCT(INDEX(Matrix!$H$2:$W$267,0,ROW()-4),INDEX(Matrix!$H$2:$W$267,0,COLUMN()-1))</f>
        <v>5</v>
      </c>
      <c r="Q11" s="2">
        <f>SUMPRODUCT(INDEX(Matrix!$H$2:$W$267,0,ROW()-4),INDEX(Matrix!$H$2:$W$267,0,COLUMN()-1))</f>
        <v>2</v>
      </c>
    </row>
    <row r="12" spans="1:17" ht="15" customHeight="1" x14ac:dyDescent="0.3">
      <c r="A12" s="3" t="s">
        <v>68</v>
      </c>
      <c r="B12" s="2">
        <f>SUMPRODUCT(INDEX(Matrix!$H$2:$W$267,0,ROW()-4),INDEX(Matrix!$H$2:$W$267,0,COLUMN()-1))</f>
        <v>0</v>
      </c>
      <c r="C12" s="2">
        <f>SUMPRODUCT(INDEX(Matrix!$H$2:$W$267,0,ROW()-4),INDEX(Matrix!$H$2:$W$267,0,COLUMN()-1))</f>
        <v>0</v>
      </c>
      <c r="D12" s="2">
        <f>SUMPRODUCT(INDEX(Matrix!$H$2:$W$267,0,ROW()-4),INDEX(Matrix!$H$2:$W$267,0,COLUMN()-1))</f>
        <v>0</v>
      </c>
      <c r="E12" s="2">
        <f>SUMPRODUCT(INDEX(Matrix!$H$2:$W$267,0,ROW()-4),INDEX(Matrix!$H$2:$W$267,0,COLUMN()-1))</f>
        <v>0</v>
      </c>
      <c r="F12" s="2">
        <f>SUMPRODUCT(INDEX(Matrix!$H$2:$W$267,0,ROW()-4),INDEX(Matrix!$H$2:$W$267,0,COLUMN()-1))</f>
        <v>0</v>
      </c>
      <c r="G12" s="2">
        <f>SUMPRODUCT(INDEX(Matrix!$H$2:$W$267,0,ROW()-4),INDEX(Matrix!$H$2:$W$267,0,COLUMN()-1))</f>
        <v>0</v>
      </c>
      <c r="H12" s="2">
        <f>SUMPRODUCT(INDEX(Matrix!$H$2:$W$267,0,ROW()-4),INDEX(Matrix!$H$2:$W$267,0,COLUMN()-1))</f>
        <v>0</v>
      </c>
      <c r="I12" s="2">
        <f>SUMPRODUCT(INDEX(Matrix!$H$2:$W$267,0,ROW()-4),INDEX(Matrix!$H$2:$W$267,0,COLUMN()-1))</f>
        <v>2</v>
      </c>
      <c r="J12" s="2">
        <f>SUMPRODUCT(INDEX(Matrix!$H$2:$W$267,0,ROW()-4),INDEX(Matrix!$H$2:$W$267,0,COLUMN()-1))</f>
        <v>1</v>
      </c>
      <c r="K12" s="2">
        <f>SUMPRODUCT(INDEX(Matrix!$H$2:$W$267,0,ROW()-4),INDEX(Matrix!$H$2:$W$267,0,COLUMN()-1))</f>
        <v>0</v>
      </c>
      <c r="L12" s="2">
        <f>SUMPRODUCT(INDEX(Matrix!$H$2:$W$267,0,ROW()-4),INDEX(Matrix!$H$2:$W$267,0,COLUMN()-1))</f>
        <v>0</v>
      </c>
      <c r="M12" s="2">
        <f>SUMPRODUCT(INDEX(Matrix!$H$2:$W$267,0,ROW()-4),INDEX(Matrix!$H$2:$W$267,0,COLUMN()-1))</f>
        <v>2</v>
      </c>
      <c r="N12" s="2">
        <f>SUMPRODUCT(INDEX(Matrix!$H$2:$W$267,0,ROW()-4),INDEX(Matrix!$H$2:$W$267,0,COLUMN()-1))</f>
        <v>0</v>
      </c>
      <c r="O12" s="2">
        <f>SUMPRODUCT(INDEX(Matrix!$H$2:$W$267,0,ROW()-4),INDEX(Matrix!$H$2:$W$267,0,COLUMN()-1))</f>
        <v>1</v>
      </c>
      <c r="P12" s="2">
        <f>SUMPRODUCT(INDEX(Matrix!$H$2:$W$267,0,ROW()-4),INDEX(Matrix!$H$2:$W$267,0,COLUMN()-1))</f>
        <v>2</v>
      </c>
      <c r="Q12" s="2">
        <f>SUMPRODUCT(INDEX(Matrix!$H$2:$W$267,0,ROW()-4),INDEX(Matrix!$H$2:$W$267,0,COLUMN()-1))</f>
        <v>1</v>
      </c>
    </row>
    <row r="13" spans="1:17" ht="15" customHeight="1" x14ac:dyDescent="0.3">
      <c r="A13" s="3" t="s">
        <v>67</v>
      </c>
      <c r="B13" s="2">
        <f>SUMPRODUCT(INDEX(Matrix!$H$2:$W$267,0,ROW()-4),INDEX(Matrix!$H$2:$W$267,0,COLUMN()-1))</f>
        <v>1</v>
      </c>
      <c r="C13" s="2">
        <f>SUMPRODUCT(INDEX(Matrix!$H$2:$W$267,0,ROW()-4),INDEX(Matrix!$H$2:$W$267,0,COLUMN()-1))</f>
        <v>7</v>
      </c>
      <c r="D13" s="2">
        <f>SUMPRODUCT(INDEX(Matrix!$H$2:$W$267,0,ROW()-4),INDEX(Matrix!$H$2:$W$267,0,COLUMN()-1))</f>
        <v>9</v>
      </c>
      <c r="E13" s="2">
        <f>SUMPRODUCT(INDEX(Matrix!$H$2:$W$267,0,ROW()-4),INDEX(Matrix!$H$2:$W$267,0,COLUMN()-1))</f>
        <v>3</v>
      </c>
      <c r="F13" s="2">
        <f>SUMPRODUCT(INDEX(Matrix!$H$2:$W$267,0,ROW()-4),INDEX(Matrix!$H$2:$W$267,0,COLUMN()-1))</f>
        <v>1</v>
      </c>
      <c r="G13" s="2">
        <f>SUMPRODUCT(INDEX(Matrix!$H$2:$W$267,0,ROW()-4),INDEX(Matrix!$H$2:$W$267,0,COLUMN()-1))</f>
        <v>2</v>
      </c>
      <c r="H13" s="2">
        <f>SUMPRODUCT(INDEX(Matrix!$H$2:$W$267,0,ROW()-4),INDEX(Matrix!$H$2:$W$267,0,COLUMN()-1))</f>
        <v>0</v>
      </c>
      <c r="I13" s="2">
        <f>SUMPRODUCT(INDEX(Matrix!$H$2:$W$267,0,ROW()-4),INDEX(Matrix!$H$2:$W$267,0,COLUMN()-1))</f>
        <v>1</v>
      </c>
      <c r="J13" s="2">
        <f>SUMPRODUCT(INDEX(Matrix!$H$2:$W$267,0,ROW()-4),INDEX(Matrix!$H$2:$W$267,0,COLUMN()-1))</f>
        <v>14</v>
      </c>
      <c r="K13" s="2">
        <f>SUMPRODUCT(INDEX(Matrix!$H$2:$W$267,0,ROW()-4),INDEX(Matrix!$H$2:$W$267,0,COLUMN()-1))</f>
        <v>1</v>
      </c>
      <c r="L13" s="2">
        <f>SUMPRODUCT(INDEX(Matrix!$H$2:$W$267,0,ROW()-4),INDEX(Matrix!$H$2:$W$267,0,COLUMN()-1))</f>
        <v>0</v>
      </c>
      <c r="M13" s="2">
        <f>SUMPRODUCT(INDEX(Matrix!$H$2:$W$267,0,ROW()-4),INDEX(Matrix!$H$2:$W$267,0,COLUMN()-1))</f>
        <v>5</v>
      </c>
      <c r="N13" s="2">
        <f>SUMPRODUCT(INDEX(Matrix!$H$2:$W$267,0,ROW()-4),INDEX(Matrix!$H$2:$W$267,0,COLUMN()-1))</f>
        <v>0</v>
      </c>
      <c r="O13" s="2">
        <f>SUMPRODUCT(INDEX(Matrix!$H$2:$W$267,0,ROW()-4),INDEX(Matrix!$H$2:$W$267,0,COLUMN()-1))</f>
        <v>4</v>
      </c>
      <c r="P13" s="2">
        <f>SUMPRODUCT(INDEX(Matrix!$H$2:$W$267,0,ROW()-4),INDEX(Matrix!$H$2:$W$267,0,COLUMN()-1))</f>
        <v>4</v>
      </c>
      <c r="Q13" s="2">
        <f>SUMPRODUCT(INDEX(Matrix!$H$2:$W$267,0,ROW()-4),INDEX(Matrix!$H$2:$W$267,0,COLUMN()-1))</f>
        <v>6</v>
      </c>
    </row>
    <row r="14" spans="1:17" ht="15" customHeight="1" x14ac:dyDescent="0.3">
      <c r="A14" s="3" t="s">
        <v>61</v>
      </c>
      <c r="B14" s="2">
        <f>SUMPRODUCT(INDEX(Matrix!$H$2:$W$267,0,ROW()-4),INDEX(Matrix!$H$2:$W$267,0,COLUMN()-1))</f>
        <v>2</v>
      </c>
      <c r="C14" s="2">
        <f>SUMPRODUCT(INDEX(Matrix!$H$2:$W$267,0,ROW()-4),INDEX(Matrix!$H$2:$W$267,0,COLUMN()-1))</f>
        <v>12</v>
      </c>
      <c r="D14" s="2">
        <f>SUMPRODUCT(INDEX(Matrix!$H$2:$W$267,0,ROW()-4),INDEX(Matrix!$H$2:$W$267,0,COLUMN()-1))</f>
        <v>13</v>
      </c>
      <c r="E14" s="2">
        <f>SUMPRODUCT(INDEX(Matrix!$H$2:$W$267,0,ROW()-4),INDEX(Matrix!$H$2:$W$267,0,COLUMN()-1))</f>
        <v>1</v>
      </c>
      <c r="F14" s="2">
        <f>SUMPRODUCT(INDEX(Matrix!$H$2:$W$267,0,ROW()-4),INDEX(Matrix!$H$2:$W$267,0,COLUMN()-1))</f>
        <v>2</v>
      </c>
      <c r="G14" s="2">
        <f>SUMPRODUCT(INDEX(Matrix!$H$2:$W$267,0,ROW()-4),INDEX(Matrix!$H$2:$W$267,0,COLUMN()-1))</f>
        <v>4</v>
      </c>
      <c r="H14" s="2">
        <f>SUMPRODUCT(INDEX(Matrix!$H$2:$W$267,0,ROW()-4),INDEX(Matrix!$H$2:$W$267,0,COLUMN()-1))</f>
        <v>1</v>
      </c>
      <c r="I14" s="2">
        <f>SUMPRODUCT(INDEX(Matrix!$H$2:$W$267,0,ROW()-4),INDEX(Matrix!$H$2:$W$267,0,COLUMN()-1))</f>
        <v>0</v>
      </c>
      <c r="J14" s="2">
        <f>SUMPRODUCT(INDEX(Matrix!$H$2:$W$267,0,ROW()-4),INDEX(Matrix!$H$2:$W$267,0,COLUMN()-1))</f>
        <v>1</v>
      </c>
      <c r="K14" s="2">
        <f>SUMPRODUCT(INDEX(Matrix!$H$2:$W$267,0,ROW()-4),INDEX(Matrix!$H$2:$W$267,0,COLUMN()-1))</f>
        <v>15</v>
      </c>
      <c r="L14" s="2">
        <f>SUMPRODUCT(INDEX(Matrix!$H$2:$W$267,0,ROW()-4),INDEX(Matrix!$H$2:$W$267,0,COLUMN()-1))</f>
        <v>0</v>
      </c>
      <c r="M14" s="2">
        <f>SUMPRODUCT(INDEX(Matrix!$H$2:$W$267,0,ROW()-4),INDEX(Matrix!$H$2:$W$267,0,COLUMN()-1))</f>
        <v>3</v>
      </c>
      <c r="N14" s="2">
        <f>SUMPRODUCT(INDEX(Matrix!$H$2:$W$267,0,ROW()-4),INDEX(Matrix!$H$2:$W$267,0,COLUMN()-1))</f>
        <v>0</v>
      </c>
      <c r="O14" s="2">
        <f>SUMPRODUCT(INDEX(Matrix!$H$2:$W$267,0,ROW()-4),INDEX(Matrix!$H$2:$W$267,0,COLUMN()-1))</f>
        <v>2</v>
      </c>
      <c r="P14" s="2">
        <f>SUMPRODUCT(INDEX(Matrix!$H$2:$W$267,0,ROW()-4),INDEX(Matrix!$H$2:$W$267,0,COLUMN()-1))</f>
        <v>3</v>
      </c>
      <c r="Q14" s="2">
        <f>SUMPRODUCT(INDEX(Matrix!$H$2:$W$267,0,ROW()-4),INDEX(Matrix!$H$2:$W$267,0,COLUMN()-1))</f>
        <v>2</v>
      </c>
    </row>
    <row r="15" spans="1:17" ht="15" customHeight="1" x14ac:dyDescent="0.3">
      <c r="A15" s="3" t="s">
        <v>54</v>
      </c>
      <c r="B15" s="2">
        <f>SUMPRODUCT(INDEX(Matrix!$H$2:$W$267,0,ROW()-4),INDEX(Matrix!$H$2:$W$267,0,COLUMN()-1))</f>
        <v>2</v>
      </c>
      <c r="C15" s="2">
        <f>SUMPRODUCT(INDEX(Matrix!$H$2:$W$267,0,ROW()-4),INDEX(Matrix!$H$2:$W$267,0,COLUMN()-1))</f>
        <v>11</v>
      </c>
      <c r="D15" s="2">
        <f>SUMPRODUCT(INDEX(Matrix!$H$2:$W$267,0,ROW()-4),INDEX(Matrix!$H$2:$W$267,0,COLUMN()-1))</f>
        <v>0</v>
      </c>
      <c r="E15" s="2">
        <f>SUMPRODUCT(INDEX(Matrix!$H$2:$W$267,0,ROW()-4),INDEX(Matrix!$H$2:$W$267,0,COLUMN()-1))</f>
        <v>3</v>
      </c>
      <c r="F15" s="2">
        <f>SUMPRODUCT(INDEX(Matrix!$H$2:$W$267,0,ROW()-4),INDEX(Matrix!$H$2:$W$267,0,COLUMN()-1))</f>
        <v>0</v>
      </c>
      <c r="G15" s="2">
        <f>SUMPRODUCT(INDEX(Matrix!$H$2:$W$267,0,ROW()-4),INDEX(Matrix!$H$2:$W$267,0,COLUMN()-1))</f>
        <v>2</v>
      </c>
      <c r="H15" s="2">
        <f>SUMPRODUCT(INDEX(Matrix!$H$2:$W$267,0,ROW()-4),INDEX(Matrix!$H$2:$W$267,0,COLUMN()-1))</f>
        <v>4</v>
      </c>
      <c r="I15" s="2">
        <f>SUMPRODUCT(INDEX(Matrix!$H$2:$W$267,0,ROW()-4),INDEX(Matrix!$H$2:$W$267,0,COLUMN()-1))</f>
        <v>0</v>
      </c>
      <c r="J15" s="2">
        <f>SUMPRODUCT(INDEX(Matrix!$H$2:$W$267,0,ROW()-4),INDEX(Matrix!$H$2:$W$267,0,COLUMN()-1))</f>
        <v>0</v>
      </c>
      <c r="K15" s="2">
        <f>SUMPRODUCT(INDEX(Matrix!$H$2:$W$267,0,ROW()-4),INDEX(Matrix!$H$2:$W$267,0,COLUMN()-1))</f>
        <v>0</v>
      </c>
      <c r="L15" s="2">
        <f>SUMPRODUCT(INDEX(Matrix!$H$2:$W$267,0,ROW()-4),INDEX(Matrix!$H$2:$W$267,0,COLUMN()-1))</f>
        <v>11</v>
      </c>
      <c r="M15" s="2">
        <f>SUMPRODUCT(INDEX(Matrix!$H$2:$W$267,0,ROW()-4),INDEX(Matrix!$H$2:$W$267,0,COLUMN()-1))</f>
        <v>1</v>
      </c>
      <c r="N15" s="2">
        <f>SUMPRODUCT(INDEX(Matrix!$H$2:$W$267,0,ROW()-4),INDEX(Matrix!$H$2:$W$267,0,COLUMN()-1))</f>
        <v>0</v>
      </c>
      <c r="O15" s="2">
        <f>SUMPRODUCT(INDEX(Matrix!$H$2:$W$267,0,ROW()-4),INDEX(Matrix!$H$2:$W$267,0,COLUMN()-1))</f>
        <v>10</v>
      </c>
      <c r="P15" s="2">
        <f>SUMPRODUCT(INDEX(Matrix!$H$2:$W$267,0,ROW()-4),INDEX(Matrix!$H$2:$W$267,0,COLUMN()-1))</f>
        <v>3</v>
      </c>
      <c r="Q15" s="2">
        <f>SUMPRODUCT(INDEX(Matrix!$H$2:$W$267,0,ROW()-4),INDEX(Matrix!$H$2:$W$267,0,COLUMN()-1))</f>
        <v>0</v>
      </c>
    </row>
    <row r="16" spans="1:17" ht="15" customHeight="1" x14ac:dyDescent="0.3">
      <c r="A16" s="3" t="s">
        <v>64</v>
      </c>
      <c r="B16" s="2">
        <f>SUMPRODUCT(INDEX(Matrix!$H$2:$W$267,0,ROW()-4),INDEX(Matrix!$H$2:$W$267,0,COLUMN()-1))</f>
        <v>5</v>
      </c>
      <c r="C16" s="2">
        <f>SUMPRODUCT(INDEX(Matrix!$H$2:$W$267,0,ROW()-4),INDEX(Matrix!$H$2:$W$267,0,COLUMN()-1))</f>
        <v>33</v>
      </c>
      <c r="D16" s="2">
        <f>SUMPRODUCT(INDEX(Matrix!$H$2:$W$267,0,ROW()-4),INDEX(Matrix!$H$2:$W$267,0,COLUMN()-1))</f>
        <v>22</v>
      </c>
      <c r="E16" s="2">
        <f>SUMPRODUCT(INDEX(Matrix!$H$2:$W$267,0,ROW()-4),INDEX(Matrix!$H$2:$W$267,0,COLUMN()-1))</f>
        <v>4</v>
      </c>
      <c r="F16" s="2">
        <f>SUMPRODUCT(INDEX(Matrix!$H$2:$W$267,0,ROW()-4),INDEX(Matrix!$H$2:$W$267,0,COLUMN()-1))</f>
        <v>8</v>
      </c>
      <c r="G16" s="2">
        <f>SUMPRODUCT(INDEX(Matrix!$H$2:$W$267,0,ROW()-4),INDEX(Matrix!$H$2:$W$267,0,COLUMN()-1))</f>
        <v>6</v>
      </c>
      <c r="H16" s="2">
        <f>SUMPRODUCT(INDEX(Matrix!$H$2:$W$267,0,ROW()-4),INDEX(Matrix!$H$2:$W$267,0,COLUMN()-1))</f>
        <v>4</v>
      </c>
      <c r="I16" s="2">
        <f>SUMPRODUCT(INDEX(Matrix!$H$2:$W$267,0,ROW()-4),INDEX(Matrix!$H$2:$W$267,0,COLUMN()-1))</f>
        <v>2</v>
      </c>
      <c r="J16" s="2">
        <f>SUMPRODUCT(INDEX(Matrix!$H$2:$W$267,0,ROW()-4),INDEX(Matrix!$H$2:$W$267,0,COLUMN()-1))</f>
        <v>5</v>
      </c>
      <c r="K16" s="2">
        <f>SUMPRODUCT(INDEX(Matrix!$H$2:$W$267,0,ROW()-4),INDEX(Matrix!$H$2:$W$267,0,COLUMN()-1))</f>
        <v>3</v>
      </c>
      <c r="L16" s="2">
        <f>SUMPRODUCT(INDEX(Matrix!$H$2:$W$267,0,ROW()-4),INDEX(Matrix!$H$2:$W$267,0,COLUMN()-1))</f>
        <v>1</v>
      </c>
      <c r="M16" s="2">
        <f>SUMPRODUCT(INDEX(Matrix!$H$2:$W$267,0,ROW()-4),INDEX(Matrix!$H$2:$W$267,0,COLUMN()-1))</f>
        <v>42</v>
      </c>
      <c r="N16" s="2">
        <f>SUMPRODUCT(INDEX(Matrix!$H$2:$W$267,0,ROW()-4),INDEX(Matrix!$H$2:$W$267,0,COLUMN()-1))</f>
        <v>0</v>
      </c>
      <c r="O16" s="2">
        <f>SUMPRODUCT(INDEX(Matrix!$H$2:$W$267,0,ROW()-4),INDEX(Matrix!$H$2:$W$267,0,COLUMN()-1))</f>
        <v>31</v>
      </c>
      <c r="P16" s="2">
        <f>SUMPRODUCT(INDEX(Matrix!$H$2:$W$267,0,ROW()-4),INDEX(Matrix!$H$2:$W$267,0,COLUMN()-1))</f>
        <v>6</v>
      </c>
      <c r="Q16" s="2">
        <f>SUMPRODUCT(INDEX(Matrix!$H$2:$W$267,0,ROW()-4),INDEX(Matrix!$H$2:$W$267,0,COLUMN()-1))</f>
        <v>6</v>
      </c>
    </row>
    <row r="17" spans="1:17" ht="15" customHeight="1" x14ac:dyDescent="0.3">
      <c r="A17" s="3" t="s">
        <v>66</v>
      </c>
      <c r="B17" s="2">
        <f>SUMPRODUCT(INDEX(Matrix!$H$2:$W$267,0,ROW()-4),INDEX(Matrix!$H$2:$W$267,0,COLUMN()-1))</f>
        <v>1</v>
      </c>
      <c r="C17" s="2">
        <f>SUMPRODUCT(INDEX(Matrix!$H$2:$W$267,0,ROW()-4),INDEX(Matrix!$H$2:$W$267,0,COLUMN()-1))</f>
        <v>3</v>
      </c>
      <c r="D17" s="2">
        <f>SUMPRODUCT(INDEX(Matrix!$H$2:$W$267,0,ROW()-4),INDEX(Matrix!$H$2:$W$267,0,COLUMN()-1))</f>
        <v>0</v>
      </c>
      <c r="E17" s="2">
        <f>SUMPRODUCT(INDEX(Matrix!$H$2:$W$267,0,ROW()-4),INDEX(Matrix!$H$2:$W$267,0,COLUMN()-1))</f>
        <v>0</v>
      </c>
      <c r="F17" s="2">
        <f>SUMPRODUCT(INDEX(Matrix!$H$2:$W$267,0,ROW()-4),INDEX(Matrix!$H$2:$W$267,0,COLUMN()-1))</f>
        <v>0</v>
      </c>
      <c r="G17" s="2">
        <f>SUMPRODUCT(INDEX(Matrix!$H$2:$W$267,0,ROW()-4),INDEX(Matrix!$H$2:$W$267,0,COLUMN()-1))</f>
        <v>1</v>
      </c>
      <c r="H17" s="2">
        <f>SUMPRODUCT(INDEX(Matrix!$H$2:$W$267,0,ROW()-4),INDEX(Matrix!$H$2:$W$267,0,COLUMN()-1))</f>
        <v>2</v>
      </c>
      <c r="I17" s="2">
        <f>SUMPRODUCT(INDEX(Matrix!$H$2:$W$267,0,ROW()-4),INDEX(Matrix!$H$2:$W$267,0,COLUMN()-1))</f>
        <v>0</v>
      </c>
      <c r="J17" s="2">
        <f>SUMPRODUCT(INDEX(Matrix!$H$2:$W$267,0,ROW()-4),INDEX(Matrix!$H$2:$W$267,0,COLUMN()-1))</f>
        <v>0</v>
      </c>
      <c r="K17" s="2">
        <f>SUMPRODUCT(INDEX(Matrix!$H$2:$W$267,0,ROW()-4),INDEX(Matrix!$H$2:$W$267,0,COLUMN()-1))</f>
        <v>0</v>
      </c>
      <c r="L17" s="2">
        <f>SUMPRODUCT(INDEX(Matrix!$H$2:$W$267,0,ROW()-4),INDEX(Matrix!$H$2:$W$267,0,COLUMN()-1))</f>
        <v>0</v>
      </c>
      <c r="M17" s="2">
        <f>SUMPRODUCT(INDEX(Matrix!$H$2:$W$267,0,ROW()-4),INDEX(Matrix!$H$2:$W$267,0,COLUMN()-1))</f>
        <v>0</v>
      </c>
      <c r="N17" s="2">
        <f>SUMPRODUCT(INDEX(Matrix!$H$2:$W$267,0,ROW()-4),INDEX(Matrix!$H$2:$W$267,0,COLUMN()-1))</f>
        <v>4</v>
      </c>
      <c r="O17" s="2">
        <f>SUMPRODUCT(INDEX(Matrix!$H$2:$W$267,0,ROW()-4),INDEX(Matrix!$H$2:$W$267,0,COLUMN()-1))</f>
        <v>3</v>
      </c>
      <c r="P17" s="2">
        <f>SUMPRODUCT(INDEX(Matrix!$H$2:$W$267,0,ROW()-4),INDEX(Matrix!$H$2:$W$267,0,COLUMN()-1))</f>
        <v>2</v>
      </c>
      <c r="Q17" s="2">
        <f>SUMPRODUCT(INDEX(Matrix!$H$2:$W$267,0,ROW()-4),INDEX(Matrix!$H$2:$W$267,0,COLUMN()-1))</f>
        <v>1</v>
      </c>
    </row>
    <row r="18" spans="1:17" ht="15" customHeight="1" x14ac:dyDescent="0.3">
      <c r="A18" s="3" t="s">
        <v>55</v>
      </c>
      <c r="B18" s="2">
        <f>SUMPRODUCT(INDEX(Matrix!$H$2:$W$267,0,ROW()-4),INDEX(Matrix!$H$2:$W$267,0,COLUMN()-1))</f>
        <v>14</v>
      </c>
      <c r="C18" s="2">
        <f>SUMPRODUCT(INDEX(Matrix!$H$2:$W$267,0,ROW()-4),INDEX(Matrix!$H$2:$W$267,0,COLUMN()-1))</f>
        <v>47</v>
      </c>
      <c r="D18" s="2">
        <f>SUMPRODUCT(INDEX(Matrix!$H$2:$W$267,0,ROW()-4),INDEX(Matrix!$H$2:$W$267,0,COLUMN()-1))</f>
        <v>19</v>
      </c>
      <c r="E18" s="2">
        <f>SUMPRODUCT(INDEX(Matrix!$H$2:$W$267,0,ROW()-4),INDEX(Matrix!$H$2:$W$267,0,COLUMN()-1))</f>
        <v>10</v>
      </c>
      <c r="F18" s="2">
        <f>SUMPRODUCT(INDEX(Matrix!$H$2:$W$267,0,ROW()-4),INDEX(Matrix!$H$2:$W$267,0,COLUMN()-1))</f>
        <v>5</v>
      </c>
      <c r="G18" s="2">
        <f>SUMPRODUCT(INDEX(Matrix!$H$2:$W$267,0,ROW()-4),INDEX(Matrix!$H$2:$W$267,0,COLUMN()-1))</f>
        <v>5</v>
      </c>
      <c r="H18" s="2">
        <f>SUMPRODUCT(INDEX(Matrix!$H$2:$W$267,0,ROW()-4),INDEX(Matrix!$H$2:$W$267,0,COLUMN()-1))</f>
        <v>11</v>
      </c>
      <c r="I18" s="2">
        <f>SUMPRODUCT(INDEX(Matrix!$H$2:$W$267,0,ROW()-4),INDEX(Matrix!$H$2:$W$267,0,COLUMN()-1))</f>
        <v>1</v>
      </c>
      <c r="J18" s="2">
        <f>SUMPRODUCT(INDEX(Matrix!$H$2:$W$267,0,ROW()-4),INDEX(Matrix!$H$2:$W$267,0,COLUMN()-1))</f>
        <v>4</v>
      </c>
      <c r="K18" s="2">
        <f>SUMPRODUCT(INDEX(Matrix!$H$2:$W$267,0,ROW()-4),INDEX(Matrix!$H$2:$W$267,0,COLUMN()-1))</f>
        <v>2</v>
      </c>
      <c r="L18" s="2">
        <f>SUMPRODUCT(INDEX(Matrix!$H$2:$W$267,0,ROW()-4),INDEX(Matrix!$H$2:$W$267,0,COLUMN()-1))</f>
        <v>10</v>
      </c>
      <c r="M18" s="2">
        <f>SUMPRODUCT(INDEX(Matrix!$H$2:$W$267,0,ROW()-4),INDEX(Matrix!$H$2:$W$267,0,COLUMN()-1))</f>
        <v>31</v>
      </c>
      <c r="N18" s="2">
        <f>SUMPRODUCT(INDEX(Matrix!$H$2:$W$267,0,ROW()-4),INDEX(Matrix!$H$2:$W$267,0,COLUMN()-1))</f>
        <v>3</v>
      </c>
      <c r="O18" s="2">
        <f>SUMPRODUCT(INDEX(Matrix!$H$2:$W$267,0,ROW()-4),INDEX(Matrix!$H$2:$W$267,0,COLUMN()-1))</f>
        <v>53</v>
      </c>
      <c r="P18" s="2">
        <f>SUMPRODUCT(INDEX(Matrix!$H$2:$W$267,0,ROW()-4),INDEX(Matrix!$H$2:$W$267,0,COLUMN()-1))</f>
        <v>8</v>
      </c>
      <c r="Q18" s="2">
        <f>SUMPRODUCT(INDEX(Matrix!$H$2:$W$267,0,ROW()-4),INDEX(Matrix!$H$2:$W$267,0,COLUMN()-1))</f>
        <v>4</v>
      </c>
    </row>
    <row r="19" spans="1:17" ht="15" customHeight="1" x14ac:dyDescent="0.3">
      <c r="A19" s="3" t="s">
        <v>62</v>
      </c>
      <c r="B19" s="2">
        <f>SUMPRODUCT(INDEX(Matrix!$H$2:$W$267,0,ROW()-4),INDEX(Matrix!$H$2:$W$267,0,COLUMN()-1))</f>
        <v>1</v>
      </c>
      <c r="C19" s="2">
        <f>SUMPRODUCT(INDEX(Matrix!$H$2:$W$267,0,ROW()-4),INDEX(Matrix!$H$2:$W$267,0,COLUMN()-1))</f>
        <v>14</v>
      </c>
      <c r="D19" s="2">
        <f>SUMPRODUCT(INDEX(Matrix!$H$2:$W$267,0,ROW()-4),INDEX(Matrix!$H$2:$W$267,0,COLUMN()-1))</f>
        <v>5</v>
      </c>
      <c r="E19" s="2">
        <f>SUMPRODUCT(INDEX(Matrix!$H$2:$W$267,0,ROW()-4),INDEX(Matrix!$H$2:$W$267,0,COLUMN()-1))</f>
        <v>4</v>
      </c>
      <c r="F19" s="2">
        <f>SUMPRODUCT(INDEX(Matrix!$H$2:$W$267,0,ROW()-4),INDEX(Matrix!$H$2:$W$267,0,COLUMN()-1))</f>
        <v>0</v>
      </c>
      <c r="G19" s="2">
        <f>SUMPRODUCT(INDEX(Matrix!$H$2:$W$267,0,ROW()-4),INDEX(Matrix!$H$2:$W$267,0,COLUMN()-1))</f>
        <v>5</v>
      </c>
      <c r="H19" s="2">
        <f>SUMPRODUCT(INDEX(Matrix!$H$2:$W$267,0,ROW()-4),INDEX(Matrix!$H$2:$W$267,0,COLUMN()-1))</f>
        <v>5</v>
      </c>
      <c r="I19" s="2">
        <f>SUMPRODUCT(INDEX(Matrix!$H$2:$W$267,0,ROW()-4),INDEX(Matrix!$H$2:$W$267,0,COLUMN()-1))</f>
        <v>2</v>
      </c>
      <c r="J19" s="2">
        <f>SUMPRODUCT(INDEX(Matrix!$H$2:$W$267,0,ROW()-4),INDEX(Matrix!$H$2:$W$267,0,COLUMN()-1))</f>
        <v>4</v>
      </c>
      <c r="K19" s="2">
        <f>SUMPRODUCT(INDEX(Matrix!$H$2:$W$267,0,ROW()-4),INDEX(Matrix!$H$2:$W$267,0,COLUMN()-1))</f>
        <v>3</v>
      </c>
      <c r="L19" s="2">
        <f>SUMPRODUCT(INDEX(Matrix!$H$2:$W$267,0,ROW()-4),INDEX(Matrix!$H$2:$W$267,0,COLUMN()-1))</f>
        <v>3</v>
      </c>
      <c r="M19" s="2">
        <f>SUMPRODUCT(INDEX(Matrix!$H$2:$W$267,0,ROW()-4),INDEX(Matrix!$H$2:$W$267,0,COLUMN()-1))</f>
        <v>6</v>
      </c>
      <c r="N19" s="2">
        <f>SUMPRODUCT(INDEX(Matrix!$H$2:$W$267,0,ROW()-4),INDEX(Matrix!$H$2:$W$267,0,COLUMN()-1))</f>
        <v>2</v>
      </c>
      <c r="O19" s="2">
        <f>SUMPRODUCT(INDEX(Matrix!$H$2:$W$267,0,ROW()-4),INDEX(Matrix!$H$2:$W$267,0,COLUMN()-1))</f>
        <v>8</v>
      </c>
      <c r="P19" s="2">
        <f>SUMPRODUCT(INDEX(Matrix!$H$2:$W$267,0,ROW()-4),INDEX(Matrix!$H$2:$W$267,0,COLUMN()-1))</f>
        <v>21</v>
      </c>
      <c r="Q19" s="2">
        <f>SUMPRODUCT(INDEX(Matrix!$H$2:$W$267,0,ROW()-4),INDEX(Matrix!$H$2:$W$267,0,COLUMN()-1))</f>
        <v>6</v>
      </c>
    </row>
    <row r="20" spans="1:17" ht="15" customHeight="1" x14ac:dyDescent="0.3">
      <c r="A20" s="3" t="s">
        <v>57</v>
      </c>
      <c r="B20" s="2">
        <f>SUMPRODUCT(INDEX(Matrix!$H$2:$W$267,0,ROW()-4),INDEX(Matrix!$H$2:$W$267,0,COLUMN()-1))</f>
        <v>1</v>
      </c>
      <c r="C20" s="2">
        <f>SUMPRODUCT(INDEX(Matrix!$H$2:$W$267,0,ROW()-4),INDEX(Matrix!$H$2:$W$267,0,COLUMN()-1))</f>
        <v>0</v>
      </c>
      <c r="D20" s="2">
        <f>SUMPRODUCT(INDEX(Matrix!$H$2:$W$267,0,ROW()-4),INDEX(Matrix!$H$2:$W$267,0,COLUMN()-1))</f>
        <v>10</v>
      </c>
      <c r="E20" s="2">
        <f>SUMPRODUCT(INDEX(Matrix!$H$2:$W$267,0,ROW()-4),INDEX(Matrix!$H$2:$W$267,0,COLUMN()-1))</f>
        <v>2</v>
      </c>
      <c r="F20" s="2">
        <f>SUMPRODUCT(INDEX(Matrix!$H$2:$W$267,0,ROW()-4),INDEX(Matrix!$H$2:$W$267,0,COLUMN()-1))</f>
        <v>5</v>
      </c>
      <c r="G20" s="2">
        <f>SUMPRODUCT(INDEX(Matrix!$H$2:$W$267,0,ROW()-4),INDEX(Matrix!$H$2:$W$267,0,COLUMN()-1))</f>
        <v>7</v>
      </c>
      <c r="H20" s="2">
        <f>SUMPRODUCT(INDEX(Matrix!$H$2:$W$267,0,ROW()-4),INDEX(Matrix!$H$2:$W$267,0,COLUMN()-1))</f>
        <v>2</v>
      </c>
      <c r="I20" s="2">
        <f>SUMPRODUCT(INDEX(Matrix!$H$2:$W$267,0,ROW()-4),INDEX(Matrix!$H$2:$W$267,0,COLUMN()-1))</f>
        <v>1</v>
      </c>
      <c r="J20" s="2">
        <f>SUMPRODUCT(INDEX(Matrix!$H$2:$W$267,0,ROW()-4),INDEX(Matrix!$H$2:$W$267,0,COLUMN()-1))</f>
        <v>6</v>
      </c>
      <c r="K20" s="2">
        <f>SUMPRODUCT(INDEX(Matrix!$H$2:$W$267,0,ROW()-4),INDEX(Matrix!$H$2:$W$267,0,COLUMN()-1))</f>
        <v>2</v>
      </c>
      <c r="L20" s="2">
        <f>SUMPRODUCT(INDEX(Matrix!$H$2:$W$267,0,ROW()-4),INDEX(Matrix!$H$2:$W$267,0,COLUMN()-1))</f>
        <v>0</v>
      </c>
      <c r="M20" s="2">
        <f>SUMPRODUCT(INDEX(Matrix!$H$2:$W$267,0,ROW()-4),INDEX(Matrix!$H$2:$W$267,0,COLUMN()-1))</f>
        <v>6</v>
      </c>
      <c r="N20" s="2">
        <f>SUMPRODUCT(INDEX(Matrix!$H$2:$W$267,0,ROW()-4),INDEX(Matrix!$H$2:$W$267,0,COLUMN()-1))</f>
        <v>1</v>
      </c>
      <c r="O20" s="2">
        <f>SUMPRODUCT(INDEX(Matrix!$H$2:$W$267,0,ROW()-4),INDEX(Matrix!$H$2:$W$267,0,COLUMN()-1))</f>
        <v>4</v>
      </c>
      <c r="P20" s="2">
        <f>SUMPRODUCT(INDEX(Matrix!$H$2:$W$267,0,ROW()-4),INDEX(Matrix!$H$2:$W$267,0,COLUMN()-1))</f>
        <v>6</v>
      </c>
      <c r="Q20" s="2">
        <f>SUMPRODUCT(INDEX(Matrix!$H$2:$W$267,0,ROW()-4),INDEX(Matrix!$H$2:$W$267,0,COLUMN()-1))</f>
        <v>16</v>
      </c>
    </row>
    <row r="21" spans="1:17" ht="15" customHeight="1" x14ac:dyDescent="0.3">
      <c r="A21" s="3" t="s">
        <v>88</v>
      </c>
      <c r="B21" s="3">
        <f t="shared" ref="B21:Q21" si="0">COUNTIF(B5:B20,"&gt;0")-1</f>
        <v>14</v>
      </c>
      <c r="C21" s="3">
        <f t="shared" si="0"/>
        <v>13</v>
      </c>
      <c r="D21" s="3">
        <f t="shared" si="0"/>
        <v>12</v>
      </c>
      <c r="E21" s="3">
        <f t="shared" si="0"/>
        <v>13</v>
      </c>
      <c r="F21" s="3">
        <f t="shared" si="0"/>
        <v>10</v>
      </c>
      <c r="G21" s="3">
        <f t="shared" si="0"/>
        <v>14</v>
      </c>
      <c r="H21" s="3">
        <f t="shared" si="0"/>
        <v>12</v>
      </c>
      <c r="I21" s="3">
        <f t="shared" si="0"/>
        <v>5</v>
      </c>
      <c r="J21" s="3">
        <f t="shared" si="0"/>
        <v>12</v>
      </c>
      <c r="K21" s="3">
        <f t="shared" si="0"/>
        <v>12</v>
      </c>
      <c r="L21" s="3">
        <f t="shared" si="0"/>
        <v>8</v>
      </c>
      <c r="M21" s="3">
        <f t="shared" si="0"/>
        <v>14</v>
      </c>
      <c r="N21" s="3">
        <f t="shared" si="0"/>
        <v>7</v>
      </c>
      <c r="O21" s="3">
        <f t="shared" si="0"/>
        <v>15</v>
      </c>
      <c r="P21" s="3">
        <f t="shared" si="0"/>
        <v>14</v>
      </c>
      <c r="Q21" s="3">
        <f t="shared" si="0"/>
        <v>13</v>
      </c>
    </row>
    <row r="22" spans="1:17" ht="15" customHeight="1" x14ac:dyDescent="0.3">
      <c r="A22" s="5" t="s">
        <v>89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9"/>
  <sheetViews>
    <sheetView zoomScaleNormal="100" workbookViewId="0">
      <selection activeCell="B7" sqref="B7"/>
    </sheetView>
  </sheetViews>
  <sheetFormatPr defaultColWidth="8.6640625" defaultRowHeight="14.4" x14ac:dyDescent="0.3"/>
  <cols>
    <col min="1" max="1" width="40" customWidth="1"/>
    <col min="2" max="2" width="42.21875" bestFit="1" customWidth="1"/>
    <col min="3" max="3" width="78" customWidth="1"/>
  </cols>
  <sheetData>
    <row r="1" spans="1:3" ht="17.25" customHeight="1" x14ac:dyDescent="0.3">
      <c r="A1" s="1" t="s">
        <v>90</v>
      </c>
    </row>
    <row r="3" spans="1:3" ht="15" customHeight="1" x14ac:dyDescent="0.3">
      <c r="A3" s="3" t="s">
        <v>91</v>
      </c>
      <c r="B3" s="8">
        <f>Config!$B$2</f>
        <v>12</v>
      </c>
      <c r="C3" s="5" t="s">
        <v>92</v>
      </c>
    </row>
    <row r="4" spans="1:3" ht="15" customHeight="1" x14ac:dyDescent="0.3">
      <c r="A4" s="3" t="s">
        <v>93</v>
      </c>
      <c r="B4" s="8">
        <f>SUM(Matrix!$B$2:$B$267)</f>
        <v>98</v>
      </c>
      <c r="C4" s="5" t="s">
        <v>94</v>
      </c>
    </row>
    <row r="5" spans="1:3" ht="15" customHeight="1" x14ac:dyDescent="0.3">
      <c r="A5" s="3" t="s">
        <v>29</v>
      </c>
      <c r="B5" s="8">
        <f>Config!$B$3</f>
        <v>25</v>
      </c>
      <c r="C5" s="5" t="s">
        <v>92</v>
      </c>
    </row>
    <row r="7" spans="1:3" ht="15" customHeight="1" x14ac:dyDescent="0.3">
      <c r="A7" s="3" t="s">
        <v>95</v>
      </c>
      <c r="B7" s="8">
        <f>MAX(Matrix!X$2:X$267)</f>
        <v>5</v>
      </c>
      <c r="C7" s="5" t="s">
        <v>96</v>
      </c>
    </row>
    <row r="8" spans="1:3" ht="15" customHeight="1" x14ac:dyDescent="0.3">
      <c r="A8" s="3" t="s">
        <v>97</v>
      </c>
      <c r="B8" s="8" t="s">
        <v>98</v>
      </c>
      <c r="C8" s="5" t="s">
        <v>99</v>
      </c>
    </row>
    <row r="10" spans="1:3" ht="15" customHeight="1" x14ac:dyDescent="0.3">
      <c r="A10" s="3" t="s">
        <v>100</v>
      </c>
      <c r="B10" s="8">
        <f>B7</f>
        <v>5</v>
      </c>
      <c r="C10" s="5" t="s">
        <v>101</v>
      </c>
    </row>
    <row r="12" spans="1:3" ht="15" customHeight="1" x14ac:dyDescent="0.3">
      <c r="A12" s="3" t="s">
        <v>102</v>
      </c>
      <c r="B12" s="9">
        <v>8</v>
      </c>
      <c r="C12" s="5" t="s">
        <v>103</v>
      </c>
    </row>
    <row r="13" spans="1:3" ht="15" customHeight="1" x14ac:dyDescent="0.3">
      <c r="A13" s="3" t="s">
        <v>104</v>
      </c>
      <c r="B13" s="9">
        <v>3</v>
      </c>
      <c r="C13" s="5" t="s">
        <v>105</v>
      </c>
    </row>
    <row r="14" spans="1:3" ht="15" customHeight="1" x14ac:dyDescent="0.3">
      <c r="A14" s="3" t="s">
        <v>106</v>
      </c>
      <c r="B14" s="8">
        <f>B12-B13</f>
        <v>5</v>
      </c>
    </row>
    <row r="16" spans="1:3" ht="15" customHeight="1" x14ac:dyDescent="0.3">
      <c r="A16" s="10" t="s">
        <v>107</v>
      </c>
      <c r="B16" s="11" t="str">
        <f>IF(B14&lt;B10,"INFEASIBLE - needs "&amp;B10&amp;" columns, only "&amp;B14&amp;" free","Not yet proven infeasible - proceed to Phase 2")</f>
        <v>Not yet proven infeasible - proceed to Phase 2</v>
      </c>
      <c r="C16" s="5" t="s">
        <v>108</v>
      </c>
    </row>
    <row r="17" spans="1:3" ht="15" customHeight="1" x14ac:dyDescent="0.3">
      <c r="A17" s="3" t="s">
        <v>109</v>
      </c>
      <c r="B17" s="8">
        <f>COUNTIF(Matrix!X$2:X$267,"&gt;"&amp;B14)</f>
        <v>0</v>
      </c>
      <c r="C17" s="5" t="s">
        <v>110</v>
      </c>
    </row>
    <row r="19" spans="1:3" ht="15" customHeight="1" x14ac:dyDescent="0.3">
      <c r="A19" s="3" t="s">
        <v>111</v>
      </c>
      <c r="B19" s="8">
        <f>Subjects!$E$26</f>
        <v>24</v>
      </c>
      <c r="C19" s="5" t="s">
        <v>112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Config</vt:lpstr>
      <vt:lpstr>Roster</vt:lpstr>
      <vt:lpstr>Matrix</vt:lpstr>
      <vt:lpstr>Subjects</vt:lpstr>
      <vt:lpstr>Conflict</vt:lpstr>
      <vt:lpstr>Bounds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Eugene Gouws</cp:lastModifiedBy>
  <cp:revision>0</cp:revision>
  <dcterms:created xsi:type="dcterms:W3CDTF">2026-07-24T12:35:53Z</dcterms:created>
  <dcterms:modified xsi:type="dcterms:W3CDTF">2026-07-25T13:54:36Z</dcterms:modified>
  <dc:language>en-US</dc:language>
</cp:coreProperties>
</file>